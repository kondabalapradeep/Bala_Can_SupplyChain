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3" documentId="13_ncr:1_{3B0C33BC-1C9D-4F63-8932-33D3A55D6232}" xr6:coauthVersionLast="47" xr6:coauthVersionMax="47" xr10:uidLastSave="{1479D5D5-59C7-470B-B49C-7066D106407B}"/>
  <bookViews>
    <workbookView xWindow="11244" yWindow="-17472" windowWidth="30936" windowHeight="16776" xr2:uid="{07513E19-67B5-4E50-873A-1F50CD4CB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</calcChain>
</file>

<file path=xl/sharedStrings.xml><?xml version="1.0" encoding="utf-8"?>
<sst xmlns="http://schemas.openxmlformats.org/spreadsheetml/2006/main" count="145" uniqueCount="134">
  <si>
    <t>Sum of Total Inventory</t>
  </si>
  <si>
    <t>Column Labels</t>
  </si>
  <si>
    <t>2025</t>
  </si>
  <si>
    <t>2025 Total</t>
  </si>
  <si>
    <t>2026</t>
  </si>
  <si>
    <t>2026 Total</t>
  </si>
  <si>
    <t>Grand Total</t>
  </si>
  <si>
    <t>Row Labels</t>
  </si>
  <si>
    <t>07</t>
  </si>
  <si>
    <t>10</t>
  </si>
  <si>
    <t>01</t>
  </si>
  <si>
    <t>02</t>
  </si>
  <si>
    <t>03</t>
  </si>
  <si>
    <t>04</t>
  </si>
  <si>
    <t>05</t>
  </si>
  <si>
    <t>06</t>
  </si>
  <si>
    <t>08</t>
  </si>
  <si>
    <t>Alamance Foods - 103864</t>
  </si>
  <si>
    <t>604-05296 - ZZZ A22 Prairie Farms Lt Crm - 12054</t>
  </si>
  <si>
    <t>604-05783 - AF1  Clover Valley Orig 6.5oz - 12174</t>
  </si>
  <si>
    <t>604-05784 - AF8  Clover Valley Ex Creamy - 12175</t>
  </si>
  <si>
    <t>604-05788 - AV2  Whole Foods 365 Oat Base - 12016.</t>
  </si>
  <si>
    <t>604-06817 - AM9 Dairy Fresh Original 7oz - 12398</t>
  </si>
  <si>
    <t>604-06876 - A87 Weis Original 6.5oz - 12324</t>
  </si>
  <si>
    <t>604-06921 - AR7  Lyncott Crema Batida 184g - 12362</t>
  </si>
  <si>
    <t>604-06941 - AS11 AHOLD Stop/S Orig 6.5oz - 12250</t>
  </si>
  <si>
    <t>604-06942 - AS13 AHOLD S/S Ext Cream 6.5oz - 12252</t>
  </si>
  <si>
    <t>604-06949 - AW21 Great Value Original - 12351</t>
  </si>
  <si>
    <t>604-06962 - AQ8 Brookshires 16.5% Orig - 12317</t>
  </si>
  <si>
    <t>604-06974 - AD16 Dutch Farms Original 6.5o - 12374</t>
  </si>
  <si>
    <t>604-06975 - AD17 Dutch Fm Ex Cream 6.5oz - 12375</t>
  </si>
  <si>
    <t>604-06986 - AH21 HEB Extra Creamy 6.5oz - 12310</t>
  </si>
  <si>
    <t>604-06987 - AH20 HEB Original 6.5oz - 12309</t>
  </si>
  <si>
    <t>604-06992 - AC11  PICS Original 6.5oz - 12319</t>
  </si>
  <si>
    <t>604-07013 - AD18 Brookfield Orig. WT 6.5oz - 12323</t>
  </si>
  <si>
    <t>604-07017 - AB14 Bowl &amp; Basket Orig 15.5% - 12414</t>
  </si>
  <si>
    <t>604-07317 - AL2 Whipt Coconut 6.5oz - 12440</t>
  </si>
  <si>
    <t>604-07355 - A33 Cabot Sweet Light 7oz Pink - 12610</t>
  </si>
  <si>
    <t>604-07547 - AG52 Great Value Sugar Free - 12644</t>
  </si>
  <si>
    <t>604-07737 - AQ2 Harris Teeter Xtra Crmy - 12704</t>
  </si>
  <si>
    <t>604-07757 - AQ6 Tops Xtra Creamy WC 6.5oz - 12762</t>
  </si>
  <si>
    <t>604-07821 - AF13 Chestnut Hill Xtra Crmy - 12779</t>
  </si>
  <si>
    <t>604-07893 - AA17 Wegmans ND Coconut WT - 12793</t>
  </si>
  <si>
    <t>604-08007 - AA10 Lucerne Original WT - 12743</t>
  </si>
  <si>
    <t>604-08030 - AP91 Hiland Dairy 18.5% REG - 12783</t>
  </si>
  <si>
    <t>604-08347 - AM7 Sprouts FM OatMilk WT - 12867</t>
  </si>
  <si>
    <t>713-04629 - AJ7  PANERA PK-A-CAN 15 OZ - 12046</t>
  </si>
  <si>
    <t>713-05894 - AR4 Darifair Whip Lt Crm Blue - 12032</t>
  </si>
  <si>
    <t>713-05898 - AZ12 Darifair Light - Yellow - 12033</t>
  </si>
  <si>
    <t>713-05899 - AT9  Freshlife Whip Light Crm - 12050</t>
  </si>
  <si>
    <t>713-05902 - AC4  James Farm Whip Lt Crm - 12040</t>
  </si>
  <si>
    <t>713-06163 - A62 Classic Crm Pump. Spice - 12119</t>
  </si>
  <si>
    <t>713-06354 - A30 Braum’s Light Cream 15oz - 12045</t>
  </si>
  <si>
    <t>713-06693 - A56 Rockview Family Farms - 12132</t>
  </si>
  <si>
    <t>713-06707 - A97  Mayfield DFA Whip 13oz - 12164</t>
  </si>
  <si>
    <t>713-06709 - AD2  TG Lee Orig Whip DFA - 12170</t>
  </si>
  <si>
    <t>713-06712 - A53  Alta Dena Light Whp 15oz - 12153</t>
  </si>
  <si>
    <t>713-06855 - AE1  DF -Crema Prices 368g-Mex - 12173</t>
  </si>
  <si>
    <t>713-07073 - AC3  Oak Farms Original 13oz - 12167</t>
  </si>
  <si>
    <t>713-07074 - AC6  PET Original Whip 13oz - 12168</t>
  </si>
  <si>
    <t>713-07342 - AP6  Classic Cream Titanium - 12204</t>
  </si>
  <si>
    <t>713-07346 - AN7 Target Marshmallow Mauve - 12210</t>
  </si>
  <si>
    <t>713-07504 - A99 Classic Crm Extra 23.5Reg - 12131</t>
  </si>
  <si>
    <t>713-07669 - AG10  President Vanilla 30% - 12244</t>
  </si>
  <si>
    <t>713-07670 - AG11 President Ext Cream 36% - 12245</t>
  </si>
  <si>
    <t>713-07716 - AB5  Bareman’s Sweet Light - 12201</t>
  </si>
  <si>
    <t>713-07786 - A63 Upstate Farms Lt Cream - 12384</t>
  </si>
  <si>
    <t>713-07830 - AW1 Farmland Real Light 14oz - 12241</t>
  </si>
  <si>
    <t>713-07866 - AJ12 Friendly Farms Extra 13oz - 12263</t>
  </si>
  <si>
    <t>713-07883 - AK2 Laura Lynn Original 14oz - 12392</t>
  </si>
  <si>
    <t>713-07910 - AO5-G Classic Cream GOLD 15oz - 12246</t>
  </si>
  <si>
    <t>713-07965 - AS12 AHOLD Stop/Shp Orig 13oz - 12251</t>
  </si>
  <si>
    <t>713-07966 - AS14 AHOLD S/S Ext Cream 13oz - 12253</t>
  </si>
  <si>
    <t>713-07982 - AS16 Scooters Private Label 15 - 12304</t>
  </si>
  <si>
    <t>713-08003 - AW22 Great Value Original 13oz - 12354</t>
  </si>
  <si>
    <t>713-08007 - ZZZ AF11 Seven Brew Drive Thru - 12284</t>
  </si>
  <si>
    <t>713-08018 - AD15 Dutch Farms Original 13oz - 12373</t>
  </si>
  <si>
    <t>713-08041 - AH23 HEB Extra Creamy 13oz - 12313</t>
  </si>
  <si>
    <t>713-08042 - AH22  HEB Original 13oz - 12311</t>
  </si>
  <si>
    <t>713-08090 - AQ11 Intl Del French Van CNDN - 12295</t>
  </si>
  <si>
    <t>713-08095 - AP15 Coffee Top White Choco - 12388</t>
  </si>
  <si>
    <t>713-08099 - AB2 Redner’s 24% Light 14oz - 12305</t>
  </si>
  <si>
    <t>713-08104 - A50 Cornerstone Whip Top 15oz - 12116</t>
  </si>
  <si>
    <t>713-08118 - AB15 Bowl &amp; Basket Orig 15.5% - 12415</t>
  </si>
  <si>
    <t>713-08119 - AB17 Bowl &amp; Basket Xtra Crmy - 12417</t>
  </si>
  <si>
    <t>713-08202 - AP16-D Coffee Very Vanilla - 12338</t>
  </si>
  <si>
    <t>713-08362 - A13-A  Classic Cream 15oz - 12007</t>
  </si>
  <si>
    <t>713-08389 - AS2 Harris Teeter Peppermint - 12442</t>
  </si>
  <si>
    <t>713-08422 - AD25 Dunkin Extra/Extra 14oz - 12427</t>
  </si>
  <si>
    <t>713-08431 - AA20 Silk Cinnamon Caramel 14z - 12425</t>
  </si>
  <si>
    <t>713-08470 - AP25 Coffee Top Peppermint 15z - 12608</t>
  </si>
  <si>
    <t>713-08483 - A32 Cabot Sweet Light 14oz Red - 12609</t>
  </si>
  <si>
    <t>713-08484 - AE2 Cabot Sweet Lght 14oz Pink - 12611</t>
  </si>
  <si>
    <t>713-08584 - ZZZ AF31 Seven Brew CF 15oz - 12279</t>
  </si>
  <si>
    <t>713-08675 - AA26 Silk Oat Cinnamon Crml CF - 12462</t>
  </si>
  <si>
    <t>713-08813 - AP34 Publix Original Whip 14oz - 12474</t>
  </si>
  <si>
    <t>713-08814 - AP35 Publix Extra Creamy 14oz - 12475</t>
  </si>
  <si>
    <t>713-08870 - AH29-Y Friendly Farms OG Whip - 12695</t>
  </si>
  <si>
    <t>713-08885 - AM14 Member’s Mark Mexico - 12694</t>
  </si>
  <si>
    <t>713-08918 - AT15 Trader Joe's Chocolate WC - 12614</t>
  </si>
  <si>
    <t>713-08990 - AT21 Trader Joe's Vanilla CF - 12993</t>
  </si>
  <si>
    <t>713-09021 - AN20 Fav Day Hot Cocoa WT - 12411</t>
  </si>
  <si>
    <t>713-09108 - AN22 Fav Day Sltd Honey WT - 12382</t>
  </si>
  <si>
    <t>713-09186 - AD40-S Barissimo Swt Vanilla - 12784</t>
  </si>
  <si>
    <t>713-09187 - AD40-C Barissimo Crml Macc - 12785</t>
  </si>
  <si>
    <t>713-09259 - AB30-D Baskin Robbins Light WC - 12980</t>
  </si>
  <si>
    <t>713-09278 - AN25 Fav Day Stld Crml CF - 12773</t>
  </si>
  <si>
    <t>713-09279 - AN26 Fav Day Vnlla Swt Crm CF - 12774</t>
  </si>
  <si>
    <t>713-09280 - AN5 Target Extra Crmy - Blue - 12771</t>
  </si>
  <si>
    <t>713-09281 - AN6 Target Original - Pink - 12772</t>
  </si>
  <si>
    <t>713-09362 - AA11 Lucerne Original WT 13oz - 12741</t>
  </si>
  <si>
    <t>713-09387 - AP92 Hiland Dairy 18.5% REG - 12781</t>
  </si>
  <si>
    <t>713-09389 - AP94 Prairie Farms 18.5% REG - 12780</t>
  </si>
  <si>
    <t>713-09457 - AG12 Grocery Outlet Original - 12808</t>
  </si>
  <si>
    <t>713-09487 - AH12 Int'l Del Caramel Macch - 12817</t>
  </si>
  <si>
    <t>713-09488 - AH13 Int'l Del Sweet Creamy - 12818</t>
  </si>
  <si>
    <t>713-09489 - AH14 Int'l Del Pumpkin Spice - 12819</t>
  </si>
  <si>
    <t>713-09535 - AK16 Member’s Mark Sam’s 15oz - 12830</t>
  </si>
  <si>
    <t>713-09538 - AN63 Nestle Toast Marshmallow - 12828</t>
  </si>
  <si>
    <t>713-09552 - AC50 Costco-Kirkland Heavy WC - 12832</t>
  </si>
  <si>
    <t>713-09562 - AD24 Dunkin Cold Foam D-Line - 12838</t>
  </si>
  <si>
    <t>713-09592 - AG45 McCafe Cold Foam - 12979</t>
  </si>
  <si>
    <t>713-09735 - AN60 Nestle French Vanilla - 12825</t>
  </si>
  <si>
    <t>713-09741 - AL22 Lidl Milbona Xtra Crmy WT - 12859</t>
  </si>
  <si>
    <t>713-09747 - AM32 McCafe Sltd Crml WC - 12837</t>
  </si>
  <si>
    <t xml:space="preserve">Alamance part # </t>
  </si>
  <si>
    <t xml:space="preserve">mid </t>
  </si>
  <si>
    <t>713-08004</t>
  </si>
  <si>
    <t xml:space="preserve">AF11 - 7 brew  12pk/ 15oz. 19.5 Clean </t>
  </si>
  <si>
    <t xml:space="preserve">AF31 - 7 brew 12pk/ 15oz. Vanilla Cold Foam, </t>
  </si>
  <si>
    <t xml:space="preserve">NEW </t>
  </si>
  <si>
    <t>Max</t>
  </si>
  <si>
    <t>Min</t>
  </si>
  <si>
    <t>713-08004 - AW24 Great Value Extra Creamy 12pk/13oz.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</si>
</sst>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0A56-8C57-46B1-B284-9AB06DC2753F}">
  <dimension ref="A1:R116"/>
  <sheetViews>
    <sheetView tabSelected="1" workbookViewId="0">
      <selection activeCell="T28" sqref="T28"/>
    </sheetView>
  </sheetViews>
  <sheetFormatPr defaultRowHeight="14.4" x14ac:dyDescent="0.3"/>
  <cols>
    <col min="1" max="1" width="22.44140625" customWidth="1"/>
    <col min="2" max="2" width="17.6640625" hidden="1" customWidth="1"/>
    <col min="3" max="3" width="50.109375" customWidth="1"/>
    <col min="4" max="5" width="10.5546875" hidden="1" customWidth="1"/>
    <col min="6" max="6" width="11.88671875" hidden="1" customWidth="1"/>
    <col min="7" max="7" width="9.5546875" hidden="1" customWidth="1"/>
    <col min="8" max="8" width="10.5546875" hidden="1" customWidth="1"/>
    <col min="9" max="9" width="11.5546875" hidden="1" customWidth="1"/>
    <col min="10" max="10" width="9.5546875" hidden="1" customWidth="1"/>
    <col min="11" max="11" width="11.5546875" hidden="1" customWidth="1"/>
    <col min="12" max="13" width="13.33203125" hidden="1" customWidth="1"/>
    <col min="14" max="14" width="13.33203125" bestFit="1" customWidth="1"/>
    <col min="15" max="16" width="13.33203125" customWidth="1"/>
    <col min="17" max="18" width="17.6640625" customWidth="1"/>
  </cols>
  <sheetData>
    <row r="1" spans="1:18" x14ac:dyDescent="0.3">
      <c r="C1" t="s">
        <v>0</v>
      </c>
      <c r="D1" t="s">
        <v>1</v>
      </c>
    </row>
    <row r="2" spans="1:18" x14ac:dyDescent="0.3">
      <c r="D2" t="s">
        <v>2</v>
      </c>
      <c r="E2" t="s">
        <v>2</v>
      </c>
      <c r="F2" t="s">
        <v>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5</v>
      </c>
      <c r="P2" t="s">
        <v>6</v>
      </c>
    </row>
    <row r="3" spans="1:18" x14ac:dyDescent="0.3">
      <c r="C3" t="s">
        <v>7</v>
      </c>
      <c r="D3" t="s">
        <v>8</v>
      </c>
      <c r="E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8</v>
      </c>
      <c r="N3" t="s">
        <v>16</v>
      </c>
    </row>
    <row r="4" spans="1:18" x14ac:dyDescent="0.3">
      <c r="A4" t="s">
        <v>125</v>
      </c>
      <c r="B4" t="s">
        <v>126</v>
      </c>
      <c r="C4" t="s">
        <v>17</v>
      </c>
      <c r="D4" s="1">
        <v>29260</v>
      </c>
      <c r="E4" s="1">
        <v>13680</v>
      </c>
      <c r="F4" s="1">
        <v>42940</v>
      </c>
      <c r="G4" s="1">
        <v>1140</v>
      </c>
      <c r="H4" s="1">
        <v>20900</v>
      </c>
      <c r="I4" s="1">
        <v>117800</v>
      </c>
      <c r="J4" s="1">
        <v>3800</v>
      </c>
      <c r="K4" s="1">
        <v>323760</v>
      </c>
      <c r="L4" s="1">
        <v>1991200</v>
      </c>
      <c r="M4" s="1">
        <v>6197040</v>
      </c>
      <c r="N4" s="1">
        <v>1163940</v>
      </c>
      <c r="O4" s="1">
        <v>9819580</v>
      </c>
      <c r="P4" s="1">
        <v>9862520</v>
      </c>
      <c r="Q4" t="s">
        <v>131</v>
      </c>
      <c r="R4" t="s">
        <v>132</v>
      </c>
    </row>
    <row r="5" spans="1:18" x14ac:dyDescent="0.3">
      <c r="A5">
        <v>12054</v>
      </c>
      <c r="B5" t="str">
        <f>MID(C5,1,10)</f>
        <v xml:space="preserve">604-05296 </v>
      </c>
      <c r="C5" t="s">
        <v>18</v>
      </c>
      <c r="D5" s="1"/>
      <c r="E5" s="1"/>
      <c r="F5" s="1"/>
      <c r="G5" s="1"/>
      <c r="H5" s="1"/>
      <c r="I5" s="1"/>
      <c r="J5" s="1"/>
      <c r="K5" s="1"/>
      <c r="L5" s="1">
        <v>380</v>
      </c>
      <c r="M5" s="1"/>
      <c r="N5" s="1"/>
      <c r="O5" s="1">
        <v>380</v>
      </c>
      <c r="P5" s="1">
        <v>380</v>
      </c>
      <c r="Q5" s="1">
        <v>0</v>
      </c>
      <c r="R5" s="1">
        <v>0</v>
      </c>
    </row>
    <row r="6" spans="1:18" s="2" customFormat="1" x14ac:dyDescent="0.3">
      <c r="A6" s="2">
        <v>12174</v>
      </c>
      <c r="B6" s="2" t="str">
        <f t="shared" ref="B6:B69" si="0">MID(C6,1,10)</f>
        <v xml:space="preserve">604-05783 </v>
      </c>
      <c r="C6" s="2" t="s">
        <v>19</v>
      </c>
      <c r="D6" s="3"/>
      <c r="E6" s="3"/>
      <c r="F6" s="3"/>
      <c r="G6" s="3"/>
      <c r="H6" s="3"/>
      <c r="I6" s="3">
        <v>117420</v>
      </c>
      <c r="J6" s="3"/>
      <c r="K6" s="3"/>
      <c r="L6" s="3"/>
      <c r="M6" s="3"/>
      <c r="N6" s="3"/>
      <c r="O6" s="3">
        <v>117420</v>
      </c>
      <c r="P6" s="3">
        <v>117420</v>
      </c>
      <c r="Q6" s="3">
        <v>228000</v>
      </c>
      <c r="R6" s="3">
        <v>114000</v>
      </c>
    </row>
    <row r="7" spans="1:18" s="2" customFormat="1" x14ac:dyDescent="0.3">
      <c r="A7" s="2">
        <v>12175</v>
      </c>
      <c r="B7" s="2" t="str">
        <f t="shared" si="0"/>
        <v xml:space="preserve">604-05784 </v>
      </c>
      <c r="C7" s="2" t="s">
        <v>20</v>
      </c>
      <c r="D7" s="3"/>
      <c r="E7" s="3"/>
      <c r="F7" s="3"/>
      <c r="G7" s="3"/>
      <c r="H7" s="3"/>
      <c r="I7" s="3"/>
      <c r="J7" s="3"/>
      <c r="K7" s="3"/>
      <c r="L7" s="3">
        <v>115900</v>
      </c>
      <c r="M7" s="3">
        <v>228000</v>
      </c>
      <c r="N7" s="3"/>
      <c r="O7" s="3">
        <v>343900</v>
      </c>
      <c r="P7" s="3">
        <v>343900</v>
      </c>
      <c r="Q7" s="3">
        <v>342000</v>
      </c>
      <c r="R7" s="3">
        <v>228000</v>
      </c>
    </row>
    <row r="8" spans="1:18" x14ac:dyDescent="0.3">
      <c r="A8">
        <v>12016</v>
      </c>
      <c r="B8" t="str">
        <f t="shared" si="0"/>
        <v xml:space="preserve">604-05788 </v>
      </c>
      <c r="C8" t="s">
        <v>21</v>
      </c>
      <c r="D8" s="1"/>
      <c r="E8" s="1"/>
      <c r="F8" s="1"/>
      <c r="G8" s="1"/>
      <c r="H8" s="1"/>
      <c r="I8" s="1"/>
      <c r="J8" s="1"/>
      <c r="K8" s="1">
        <v>760</v>
      </c>
      <c r="L8" s="1"/>
      <c r="M8" s="1"/>
      <c r="N8" s="1"/>
      <c r="O8" s="1">
        <v>760</v>
      </c>
      <c r="P8" s="1">
        <v>760</v>
      </c>
      <c r="Q8" s="1"/>
      <c r="R8" s="1"/>
    </row>
    <row r="9" spans="1:18" x14ac:dyDescent="0.3">
      <c r="A9">
        <v>12398</v>
      </c>
      <c r="B9" t="str">
        <f t="shared" si="0"/>
        <v xml:space="preserve">604-06817 </v>
      </c>
      <c r="C9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>
        <v>17100</v>
      </c>
      <c r="O9" s="1">
        <v>17100</v>
      </c>
      <c r="P9" s="1">
        <v>17100</v>
      </c>
      <c r="Q9" s="1"/>
      <c r="R9" s="1"/>
    </row>
    <row r="10" spans="1:18" x14ac:dyDescent="0.3">
      <c r="A10">
        <v>12324</v>
      </c>
      <c r="B10" t="str">
        <f t="shared" si="0"/>
        <v xml:space="preserve">604-06876 </v>
      </c>
      <c r="C10" t="s">
        <v>23</v>
      </c>
      <c r="D10" s="1"/>
      <c r="E10" s="1"/>
      <c r="F10" s="1"/>
      <c r="G10" s="1"/>
      <c r="H10" s="1"/>
      <c r="I10" s="1"/>
      <c r="J10" s="1"/>
      <c r="K10" s="1"/>
      <c r="L10" s="1"/>
      <c r="M10" s="1">
        <v>15960</v>
      </c>
      <c r="N10" s="1"/>
      <c r="O10" s="1">
        <v>15960</v>
      </c>
      <c r="P10" s="1">
        <v>15960</v>
      </c>
      <c r="Q10" s="1"/>
      <c r="R10" s="1"/>
    </row>
    <row r="11" spans="1:18" x14ac:dyDescent="0.3">
      <c r="A11">
        <v>12362</v>
      </c>
      <c r="B11" t="str">
        <f t="shared" si="0"/>
        <v xml:space="preserve">604-06921 </v>
      </c>
      <c r="C11" t="s">
        <v>24</v>
      </c>
      <c r="D11" s="1"/>
      <c r="E11" s="1"/>
      <c r="F11" s="1"/>
      <c r="G11" s="1"/>
      <c r="H11" s="1"/>
      <c r="I11" s="1"/>
      <c r="J11" s="1"/>
      <c r="K11" s="1"/>
      <c r="L11" s="1">
        <v>760</v>
      </c>
      <c r="M11" s="1"/>
      <c r="N11" s="1"/>
      <c r="O11" s="1">
        <v>760</v>
      </c>
      <c r="P11" s="1">
        <v>760</v>
      </c>
      <c r="Q11" s="1"/>
      <c r="R11" s="1"/>
    </row>
    <row r="12" spans="1:18" x14ac:dyDescent="0.3">
      <c r="A12">
        <v>12250</v>
      </c>
      <c r="B12" t="str">
        <f t="shared" si="0"/>
        <v xml:space="preserve">604-06941 </v>
      </c>
      <c r="C12" t="s">
        <v>25</v>
      </c>
      <c r="D12" s="1"/>
      <c r="E12" s="1"/>
      <c r="F12" s="1"/>
      <c r="G12" s="1"/>
      <c r="H12" s="1"/>
      <c r="I12" s="1"/>
      <c r="J12" s="1"/>
      <c r="K12" s="1">
        <v>1520</v>
      </c>
      <c r="L12" s="1"/>
      <c r="M12" s="1"/>
      <c r="N12" s="1"/>
      <c r="O12" s="1">
        <v>1520</v>
      </c>
      <c r="P12" s="1">
        <v>1520</v>
      </c>
      <c r="Q12" s="1"/>
      <c r="R12" s="1"/>
    </row>
    <row r="13" spans="1:18" x14ac:dyDescent="0.3">
      <c r="A13">
        <v>12252</v>
      </c>
      <c r="B13" t="str">
        <f t="shared" si="0"/>
        <v xml:space="preserve">604-06942 </v>
      </c>
      <c r="C13" t="s">
        <v>26</v>
      </c>
      <c r="D13" s="1"/>
      <c r="E13" s="1"/>
      <c r="F13" s="1"/>
      <c r="G13" s="1"/>
      <c r="H13" s="1"/>
      <c r="I13" s="1"/>
      <c r="J13" s="1"/>
      <c r="K13" s="1"/>
      <c r="L13" s="1">
        <v>760</v>
      </c>
      <c r="M13" s="1"/>
      <c r="N13" s="1"/>
      <c r="O13" s="1">
        <v>760</v>
      </c>
      <c r="P13" s="1">
        <v>760</v>
      </c>
      <c r="Q13" s="1"/>
      <c r="R13" s="1"/>
    </row>
    <row r="14" spans="1:18" x14ac:dyDescent="0.3">
      <c r="A14">
        <v>12351</v>
      </c>
      <c r="B14" t="str">
        <f t="shared" si="0"/>
        <v xml:space="preserve">604-06949 </v>
      </c>
      <c r="C14" t="s">
        <v>27</v>
      </c>
      <c r="D14" s="1"/>
      <c r="E14" s="1"/>
      <c r="F14" s="1"/>
      <c r="G14" s="1"/>
      <c r="H14" s="1"/>
      <c r="I14" s="1"/>
      <c r="J14" s="1"/>
      <c r="K14" s="1"/>
      <c r="L14" s="1"/>
      <c r="M14" s="1">
        <v>380</v>
      </c>
      <c r="N14" s="1"/>
      <c r="O14" s="1">
        <v>380</v>
      </c>
      <c r="P14" s="1">
        <v>380</v>
      </c>
      <c r="Q14" s="1"/>
      <c r="R14" s="1"/>
    </row>
    <row r="15" spans="1:18" x14ac:dyDescent="0.3">
      <c r="A15">
        <v>12317</v>
      </c>
      <c r="B15" t="str">
        <f t="shared" si="0"/>
        <v xml:space="preserve">604-06962 </v>
      </c>
      <c r="C15" t="s">
        <v>28</v>
      </c>
      <c r="D15" s="1"/>
      <c r="E15" s="1"/>
      <c r="F15" s="1"/>
      <c r="G15" s="1"/>
      <c r="H15" s="1"/>
      <c r="I15" s="1"/>
      <c r="J15" s="1"/>
      <c r="K15" s="1"/>
      <c r="L15" s="1">
        <v>760</v>
      </c>
      <c r="M15" s="1"/>
      <c r="N15" s="1"/>
      <c r="O15" s="1">
        <v>760</v>
      </c>
      <c r="P15" s="1">
        <v>760</v>
      </c>
      <c r="Q15" s="1"/>
      <c r="R15" s="1"/>
    </row>
    <row r="16" spans="1:18" x14ac:dyDescent="0.3">
      <c r="A16">
        <v>12374</v>
      </c>
      <c r="B16" t="str">
        <f t="shared" si="0"/>
        <v xml:space="preserve">604-06974 </v>
      </c>
      <c r="C16" t="s">
        <v>29</v>
      </c>
      <c r="D16" s="1"/>
      <c r="E16" s="1"/>
      <c r="F16" s="1"/>
      <c r="G16" s="1"/>
      <c r="H16" s="1"/>
      <c r="I16" s="1"/>
      <c r="J16" s="1"/>
      <c r="K16" s="1">
        <v>760</v>
      </c>
      <c r="L16" s="1"/>
      <c r="M16" s="1"/>
      <c r="N16" s="1"/>
      <c r="O16" s="1">
        <v>760</v>
      </c>
      <c r="P16" s="1">
        <v>760</v>
      </c>
      <c r="Q16" s="1"/>
      <c r="R16" s="1"/>
    </row>
    <row r="17" spans="1:18" x14ac:dyDescent="0.3">
      <c r="A17">
        <v>12375</v>
      </c>
      <c r="B17" t="str">
        <f t="shared" si="0"/>
        <v xml:space="preserve">604-06975 </v>
      </c>
      <c r="C17" t="s">
        <v>30</v>
      </c>
      <c r="D17" s="1"/>
      <c r="E17" s="1"/>
      <c r="F17" s="1"/>
      <c r="G17" s="1"/>
      <c r="H17" s="1"/>
      <c r="I17" s="1"/>
      <c r="J17" s="1"/>
      <c r="K17" s="1"/>
      <c r="L17" s="1">
        <v>380</v>
      </c>
      <c r="M17" s="1"/>
      <c r="N17" s="1"/>
      <c r="O17" s="1">
        <v>380</v>
      </c>
      <c r="P17" s="1">
        <v>380</v>
      </c>
      <c r="Q17" s="1"/>
      <c r="R17" s="1"/>
    </row>
    <row r="18" spans="1:18" x14ac:dyDescent="0.3">
      <c r="A18">
        <v>12310</v>
      </c>
      <c r="B18" t="str">
        <f t="shared" si="0"/>
        <v xml:space="preserve">604-06986 </v>
      </c>
      <c r="C18" t="s">
        <v>31</v>
      </c>
      <c r="D18" s="1"/>
      <c r="E18" s="1"/>
      <c r="F18" s="1"/>
      <c r="G18" s="1"/>
      <c r="H18" s="1"/>
      <c r="I18" s="1"/>
      <c r="J18" s="1"/>
      <c r="K18" s="1"/>
      <c r="L18" s="1">
        <v>760</v>
      </c>
      <c r="M18" s="1"/>
      <c r="N18" s="1"/>
      <c r="O18" s="1">
        <v>760</v>
      </c>
      <c r="P18" s="1">
        <v>760</v>
      </c>
      <c r="Q18" s="1"/>
      <c r="R18" s="1"/>
    </row>
    <row r="19" spans="1:18" x14ac:dyDescent="0.3">
      <c r="A19">
        <v>12309</v>
      </c>
      <c r="B19" t="str">
        <f t="shared" si="0"/>
        <v xml:space="preserve">604-06987 </v>
      </c>
      <c r="C19" t="s">
        <v>32</v>
      </c>
      <c r="D19" s="1"/>
      <c r="E19" s="1"/>
      <c r="F19" s="1"/>
      <c r="G19" s="1"/>
      <c r="H19" s="1"/>
      <c r="I19" s="1"/>
      <c r="J19" s="1"/>
      <c r="K19" s="1">
        <v>1520</v>
      </c>
      <c r="L19" s="1"/>
      <c r="M19" s="1"/>
      <c r="N19" s="1"/>
      <c r="O19" s="1">
        <v>1520</v>
      </c>
      <c r="P19" s="1">
        <v>1520</v>
      </c>
      <c r="Q19" s="1"/>
      <c r="R19" s="1"/>
    </row>
    <row r="20" spans="1:18" x14ac:dyDescent="0.3">
      <c r="A20">
        <v>12319</v>
      </c>
      <c r="B20" t="str">
        <f t="shared" si="0"/>
        <v xml:space="preserve">604-06992 </v>
      </c>
      <c r="C20" t="s">
        <v>33</v>
      </c>
      <c r="D20" s="1"/>
      <c r="E20" s="1"/>
      <c r="F20" s="1"/>
      <c r="G20" s="1"/>
      <c r="H20" s="1"/>
      <c r="I20" s="1"/>
      <c r="J20" s="1"/>
      <c r="K20" s="1"/>
      <c r="L20" s="1"/>
      <c r="M20" s="1">
        <v>25840</v>
      </c>
      <c r="N20" s="1"/>
      <c r="O20" s="1">
        <v>25840</v>
      </c>
      <c r="P20" s="1">
        <v>25840</v>
      </c>
      <c r="Q20" s="1"/>
      <c r="R20" s="1"/>
    </row>
    <row r="21" spans="1:18" x14ac:dyDescent="0.3">
      <c r="A21">
        <v>12323</v>
      </c>
      <c r="B21" t="str">
        <f t="shared" si="0"/>
        <v xml:space="preserve">604-07013 </v>
      </c>
      <c r="C21" t="s">
        <v>34</v>
      </c>
      <c r="D21" s="1"/>
      <c r="E21" s="1"/>
      <c r="F21" s="1"/>
      <c r="G21" s="1"/>
      <c r="H21" s="1"/>
      <c r="I21" s="1"/>
      <c r="J21" s="1"/>
      <c r="K21" s="1"/>
      <c r="L21" s="1"/>
      <c r="M21" s="1">
        <v>16340</v>
      </c>
      <c r="N21" s="1"/>
      <c r="O21" s="1">
        <v>16340</v>
      </c>
      <c r="P21" s="1">
        <v>16340</v>
      </c>
      <c r="Q21" s="1"/>
      <c r="R21" s="1"/>
    </row>
    <row r="22" spans="1:18" x14ac:dyDescent="0.3">
      <c r="A22">
        <v>12414</v>
      </c>
      <c r="B22" t="str">
        <f t="shared" si="0"/>
        <v xml:space="preserve">604-07017 </v>
      </c>
      <c r="C22" t="s">
        <v>35</v>
      </c>
      <c r="D22" s="1"/>
      <c r="E22" s="1"/>
      <c r="F22" s="1"/>
      <c r="G22" s="1"/>
      <c r="H22" s="1"/>
      <c r="I22" s="1"/>
      <c r="J22" s="1"/>
      <c r="K22" s="1"/>
      <c r="L22" s="1"/>
      <c r="M22" s="1">
        <v>380</v>
      </c>
      <c r="N22" s="1"/>
      <c r="O22" s="1">
        <v>380</v>
      </c>
      <c r="P22" s="1">
        <v>380</v>
      </c>
      <c r="Q22" s="1"/>
      <c r="R22" s="1"/>
    </row>
    <row r="23" spans="1:18" s="2" customFormat="1" x14ac:dyDescent="0.3">
      <c r="A23" s="2">
        <v>12440</v>
      </c>
      <c r="B23" s="2" t="str">
        <f t="shared" si="0"/>
        <v xml:space="preserve">604-07317 </v>
      </c>
      <c r="C23" s="2" t="s">
        <v>36</v>
      </c>
      <c r="D23" s="3"/>
      <c r="E23" s="3"/>
      <c r="F23" s="3"/>
      <c r="G23" s="3"/>
      <c r="H23" s="3"/>
      <c r="I23" s="3"/>
      <c r="J23" s="3"/>
      <c r="K23" s="3"/>
      <c r="L23" s="3">
        <v>102220</v>
      </c>
      <c r="M23" s="3"/>
      <c r="N23" s="3"/>
      <c r="O23" s="3">
        <v>102220</v>
      </c>
      <c r="P23" s="3">
        <v>102220</v>
      </c>
      <c r="Q23" s="3">
        <v>228000</v>
      </c>
      <c r="R23" s="3">
        <v>114000</v>
      </c>
    </row>
    <row r="24" spans="1:18" s="2" customFormat="1" x14ac:dyDescent="0.3">
      <c r="A24" s="2">
        <v>12610</v>
      </c>
      <c r="B24" s="2" t="str">
        <f t="shared" si="0"/>
        <v xml:space="preserve">604-07355 </v>
      </c>
      <c r="C24" s="2" t="s">
        <v>37</v>
      </c>
      <c r="D24" s="3"/>
      <c r="E24" s="3"/>
      <c r="F24" s="3"/>
      <c r="G24" s="3"/>
      <c r="H24" s="3"/>
      <c r="I24" s="3"/>
      <c r="J24" s="3"/>
      <c r="K24" s="3"/>
      <c r="L24" s="3"/>
      <c r="M24" s="3">
        <v>124640</v>
      </c>
      <c r="N24" s="3"/>
      <c r="O24" s="3">
        <v>124640</v>
      </c>
      <c r="P24" s="3">
        <v>124640</v>
      </c>
      <c r="Q24" s="3">
        <v>342000</v>
      </c>
      <c r="R24" s="3">
        <v>228000</v>
      </c>
    </row>
    <row r="25" spans="1:18" x14ac:dyDescent="0.3">
      <c r="A25">
        <v>12644</v>
      </c>
      <c r="B25" t="str">
        <f t="shared" si="0"/>
        <v xml:space="preserve">604-07547 </v>
      </c>
      <c r="C25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>
        <v>380</v>
      </c>
      <c r="N25" s="1"/>
      <c r="O25" s="1">
        <v>380</v>
      </c>
      <c r="P25" s="1">
        <v>380</v>
      </c>
      <c r="Q25" s="1"/>
      <c r="R25" s="1"/>
    </row>
    <row r="26" spans="1:18" x14ac:dyDescent="0.3">
      <c r="A26">
        <v>12704</v>
      </c>
      <c r="B26" t="str">
        <f t="shared" si="0"/>
        <v xml:space="preserve">604-07737 </v>
      </c>
      <c r="C26" t="s">
        <v>39</v>
      </c>
      <c r="D26" s="1"/>
      <c r="E26" s="1"/>
      <c r="F26" s="1"/>
      <c r="G26" s="1"/>
      <c r="H26" s="1"/>
      <c r="I26" s="1"/>
      <c r="J26" s="1"/>
      <c r="K26" s="1"/>
      <c r="L26" s="1"/>
      <c r="M26" s="1">
        <v>15960</v>
      </c>
      <c r="N26" s="1"/>
      <c r="O26" s="1">
        <v>15960</v>
      </c>
      <c r="P26" s="1">
        <v>15960</v>
      </c>
      <c r="Q26" s="1"/>
      <c r="R26" s="1"/>
    </row>
    <row r="27" spans="1:18" x14ac:dyDescent="0.3">
      <c r="A27">
        <v>12762</v>
      </c>
      <c r="B27" t="str">
        <f t="shared" si="0"/>
        <v xml:space="preserve">604-07757 </v>
      </c>
      <c r="C27" t="s">
        <v>40</v>
      </c>
      <c r="D27" s="1"/>
      <c r="E27" s="1"/>
      <c r="F27" s="1"/>
      <c r="G27" s="1"/>
      <c r="H27" s="1"/>
      <c r="I27" s="1">
        <v>380</v>
      </c>
      <c r="J27" s="1"/>
      <c r="K27" s="1"/>
      <c r="L27" s="1"/>
      <c r="M27" s="1"/>
      <c r="N27" s="1"/>
      <c r="O27" s="1">
        <v>380</v>
      </c>
      <c r="P27" s="1">
        <v>380</v>
      </c>
      <c r="Q27" s="1"/>
      <c r="R27" s="1"/>
    </row>
    <row r="28" spans="1:18" x14ac:dyDescent="0.3">
      <c r="A28">
        <v>12779</v>
      </c>
      <c r="B28" t="str">
        <f t="shared" si="0"/>
        <v xml:space="preserve">604-07821 </v>
      </c>
      <c r="C28" t="s">
        <v>41</v>
      </c>
      <c r="D28" s="1"/>
      <c r="E28" s="1"/>
      <c r="F28" s="1"/>
      <c r="G28" s="1"/>
      <c r="H28" s="1"/>
      <c r="I28" s="1"/>
      <c r="J28" s="1"/>
      <c r="K28" s="1"/>
      <c r="L28" s="1"/>
      <c r="M28" s="1">
        <v>2280</v>
      </c>
      <c r="N28" s="1"/>
      <c r="O28" s="1">
        <v>2280</v>
      </c>
      <c r="P28" s="1">
        <v>2280</v>
      </c>
      <c r="Q28" s="1"/>
      <c r="R28" s="1"/>
    </row>
    <row r="29" spans="1:18" x14ac:dyDescent="0.3">
      <c r="A29">
        <v>12793</v>
      </c>
      <c r="B29" t="str">
        <f t="shared" si="0"/>
        <v xml:space="preserve">604-07893 </v>
      </c>
      <c r="C29" t="s">
        <v>42</v>
      </c>
      <c r="D29" s="1"/>
      <c r="E29" s="1"/>
      <c r="F29" s="1"/>
      <c r="G29" s="1"/>
      <c r="H29" s="1"/>
      <c r="I29" s="1"/>
      <c r="J29" s="1"/>
      <c r="K29" s="1"/>
      <c r="L29" s="1"/>
      <c r="M29" s="1">
        <v>380</v>
      </c>
      <c r="N29" s="1"/>
      <c r="O29" s="1">
        <v>380</v>
      </c>
      <c r="P29" s="1">
        <v>380</v>
      </c>
      <c r="Q29" s="1"/>
      <c r="R29" s="1"/>
    </row>
    <row r="30" spans="1:18" x14ac:dyDescent="0.3">
      <c r="A30">
        <v>12743</v>
      </c>
      <c r="B30" t="str">
        <f t="shared" si="0"/>
        <v xml:space="preserve">604-08007 </v>
      </c>
      <c r="C30" t="s">
        <v>43</v>
      </c>
      <c r="D30" s="1"/>
      <c r="E30" s="1"/>
      <c r="F30" s="1"/>
      <c r="G30" s="1"/>
      <c r="H30" s="1"/>
      <c r="I30" s="1"/>
      <c r="J30" s="1"/>
      <c r="K30" s="1"/>
      <c r="L30" s="1"/>
      <c r="M30" s="1">
        <v>36860</v>
      </c>
      <c r="N30" s="1"/>
      <c r="O30" s="1">
        <v>36860</v>
      </c>
      <c r="P30" s="1">
        <v>36860</v>
      </c>
      <c r="Q30" s="1"/>
      <c r="R30" s="1"/>
    </row>
    <row r="31" spans="1:18" x14ac:dyDescent="0.3">
      <c r="A31">
        <v>12783</v>
      </c>
      <c r="B31" t="str">
        <f t="shared" si="0"/>
        <v xml:space="preserve">604-08030 </v>
      </c>
      <c r="C31" t="s">
        <v>44</v>
      </c>
      <c r="D31" s="1"/>
      <c r="E31" s="1"/>
      <c r="F31" s="1"/>
      <c r="G31" s="1"/>
      <c r="H31" s="1"/>
      <c r="I31" s="1"/>
      <c r="J31" s="1"/>
      <c r="K31" s="1">
        <v>1520</v>
      </c>
      <c r="L31" s="1"/>
      <c r="M31" s="1"/>
      <c r="N31" s="1"/>
      <c r="O31" s="1">
        <v>1520</v>
      </c>
      <c r="P31" s="1">
        <v>1520</v>
      </c>
      <c r="Q31" s="1"/>
      <c r="R31" s="1"/>
    </row>
    <row r="32" spans="1:18" x14ac:dyDescent="0.3">
      <c r="A32">
        <v>12867</v>
      </c>
      <c r="B32" t="str">
        <f t="shared" si="0"/>
        <v xml:space="preserve">604-08347 </v>
      </c>
      <c r="C32" t="s">
        <v>45</v>
      </c>
      <c r="D32" s="1"/>
      <c r="E32" s="1"/>
      <c r="F32" s="1"/>
      <c r="G32" s="1"/>
      <c r="H32" s="1"/>
      <c r="I32" s="1"/>
      <c r="J32" s="1"/>
      <c r="K32" s="1"/>
      <c r="L32" s="1"/>
      <c r="M32" s="1">
        <v>380</v>
      </c>
      <c r="N32" s="1"/>
      <c r="O32" s="1">
        <v>380</v>
      </c>
      <c r="P32" s="1">
        <v>380</v>
      </c>
      <c r="Q32" s="1"/>
      <c r="R32" s="1"/>
    </row>
    <row r="33" spans="1:18" x14ac:dyDescent="0.3">
      <c r="A33">
        <v>12046</v>
      </c>
      <c r="B33" t="str">
        <f t="shared" si="0"/>
        <v xml:space="preserve">713-04629 </v>
      </c>
      <c r="C33" t="s">
        <v>46</v>
      </c>
      <c r="D33" s="1"/>
      <c r="E33" s="1"/>
      <c r="F33" s="1"/>
      <c r="G33" s="1"/>
      <c r="H33" s="1"/>
      <c r="I33" s="1"/>
      <c r="J33" s="1">
        <v>2280</v>
      </c>
      <c r="K33" s="1"/>
      <c r="L33" s="1"/>
      <c r="M33" s="1">
        <v>102220</v>
      </c>
      <c r="N33" s="1"/>
      <c r="O33" s="1">
        <v>104500</v>
      </c>
      <c r="P33" s="1">
        <v>104500</v>
      </c>
      <c r="Q33" s="1"/>
      <c r="R33" s="1"/>
    </row>
    <row r="34" spans="1:18" s="2" customFormat="1" x14ac:dyDescent="0.3">
      <c r="A34" s="2">
        <v>12032</v>
      </c>
      <c r="B34" s="2" t="str">
        <f t="shared" si="0"/>
        <v xml:space="preserve">713-05894 </v>
      </c>
      <c r="C34" s="2" t="s">
        <v>47</v>
      </c>
      <c r="D34" s="3"/>
      <c r="E34" s="3"/>
      <c r="F34" s="3"/>
      <c r="G34" s="3"/>
      <c r="H34" s="3"/>
      <c r="I34" s="3"/>
      <c r="J34" s="3"/>
      <c r="K34" s="3"/>
      <c r="L34" s="3">
        <v>380</v>
      </c>
      <c r="M34" s="3">
        <v>187720</v>
      </c>
      <c r="N34" s="3"/>
      <c r="O34" s="3">
        <v>188100</v>
      </c>
      <c r="P34" s="3">
        <v>188100</v>
      </c>
      <c r="Q34" s="3">
        <v>285000</v>
      </c>
      <c r="R34" s="3">
        <v>190000</v>
      </c>
    </row>
    <row r="35" spans="1:18" s="2" customFormat="1" x14ac:dyDescent="0.3">
      <c r="A35" s="2">
        <v>12033</v>
      </c>
      <c r="B35" s="2" t="str">
        <f t="shared" si="0"/>
        <v xml:space="preserve">713-05898 </v>
      </c>
      <c r="C35" s="2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>
        <v>98800</v>
      </c>
      <c r="N35" s="3"/>
      <c r="O35" s="3">
        <v>98800</v>
      </c>
      <c r="P35" s="3">
        <v>98800</v>
      </c>
      <c r="Q35" s="3">
        <v>190000</v>
      </c>
      <c r="R35" s="3">
        <v>95000</v>
      </c>
    </row>
    <row r="36" spans="1:18" s="2" customFormat="1" x14ac:dyDescent="0.3">
      <c r="A36" s="2">
        <v>12050</v>
      </c>
      <c r="B36" s="2" t="str">
        <f t="shared" si="0"/>
        <v xml:space="preserve">713-05899 </v>
      </c>
      <c r="C36" s="2" t="s">
        <v>49</v>
      </c>
      <c r="D36" s="3"/>
      <c r="E36" s="3"/>
      <c r="F36" s="3"/>
      <c r="G36" s="3"/>
      <c r="H36" s="3"/>
      <c r="I36" s="3"/>
      <c r="J36" s="3"/>
      <c r="K36" s="3"/>
      <c r="L36" s="3"/>
      <c r="M36" s="3">
        <v>285760</v>
      </c>
      <c r="N36" s="3"/>
      <c r="O36" s="3">
        <v>285760</v>
      </c>
      <c r="P36" s="3">
        <v>285760</v>
      </c>
      <c r="Q36" s="3">
        <v>380000</v>
      </c>
      <c r="R36" s="3">
        <v>285000</v>
      </c>
    </row>
    <row r="37" spans="1:18" x14ac:dyDescent="0.3">
      <c r="A37">
        <v>12040</v>
      </c>
      <c r="B37" t="str">
        <f t="shared" si="0"/>
        <v xml:space="preserve">713-05902 </v>
      </c>
      <c r="C37" t="s">
        <v>50</v>
      </c>
      <c r="D37" s="1"/>
      <c r="E37" s="1"/>
      <c r="F37" s="1"/>
      <c r="G37" s="1"/>
      <c r="H37" s="1"/>
      <c r="I37" s="1"/>
      <c r="J37" s="1"/>
      <c r="K37" s="1"/>
      <c r="L37" s="1"/>
      <c r="M37" s="1">
        <v>380</v>
      </c>
      <c r="N37" s="1"/>
      <c r="O37" s="1">
        <v>380</v>
      </c>
      <c r="P37" s="1">
        <v>380</v>
      </c>
      <c r="Q37" s="1"/>
      <c r="R37" s="1"/>
    </row>
    <row r="38" spans="1:18" x14ac:dyDescent="0.3">
      <c r="A38">
        <v>12119</v>
      </c>
      <c r="B38" t="str">
        <f t="shared" si="0"/>
        <v xml:space="preserve">713-06163 </v>
      </c>
      <c r="C38" t="s">
        <v>51</v>
      </c>
      <c r="D38" s="1"/>
      <c r="E38" s="1"/>
      <c r="F38" s="1"/>
      <c r="G38" s="1"/>
      <c r="H38" s="1"/>
      <c r="I38" s="1"/>
      <c r="J38" s="1"/>
      <c r="K38" s="1"/>
      <c r="L38" s="1"/>
      <c r="M38" s="1">
        <v>1140</v>
      </c>
      <c r="N38" s="1"/>
      <c r="O38" s="1">
        <v>1140</v>
      </c>
      <c r="P38" s="1">
        <v>1140</v>
      </c>
      <c r="Q38" s="1"/>
      <c r="R38" s="1"/>
    </row>
    <row r="39" spans="1:18" x14ac:dyDescent="0.3">
      <c r="A39">
        <v>12045</v>
      </c>
      <c r="B39" t="str">
        <f t="shared" si="0"/>
        <v xml:space="preserve">713-06354 </v>
      </c>
      <c r="C39" t="s">
        <v>52</v>
      </c>
      <c r="D39" s="1"/>
      <c r="E39" s="1"/>
      <c r="F39" s="1"/>
      <c r="G39" s="1"/>
      <c r="H39" s="1"/>
      <c r="I39" s="1"/>
      <c r="J39" s="1"/>
      <c r="K39" s="1"/>
      <c r="L39" s="1">
        <v>380</v>
      </c>
      <c r="M39" s="1"/>
      <c r="N39" s="1"/>
      <c r="O39" s="1">
        <v>380</v>
      </c>
      <c r="P39" s="1">
        <v>380</v>
      </c>
      <c r="Q39" s="1"/>
      <c r="R39" s="1"/>
    </row>
    <row r="40" spans="1:18" x14ac:dyDescent="0.3">
      <c r="A40">
        <v>12132</v>
      </c>
      <c r="B40" t="str">
        <f t="shared" si="0"/>
        <v xml:space="preserve">713-06693 </v>
      </c>
      <c r="C40" t="s">
        <v>53</v>
      </c>
      <c r="D40" s="1"/>
      <c r="E40" s="1"/>
      <c r="F40" s="1"/>
      <c r="G40" s="1"/>
      <c r="H40" s="1"/>
      <c r="I40" s="1"/>
      <c r="J40" s="1"/>
      <c r="K40" s="1"/>
      <c r="L40" s="1">
        <v>380</v>
      </c>
      <c r="M40" s="1"/>
      <c r="N40" s="1"/>
      <c r="O40" s="1">
        <v>380</v>
      </c>
      <c r="P40" s="1">
        <v>380</v>
      </c>
      <c r="Q40" s="1"/>
      <c r="R40" s="1"/>
    </row>
    <row r="41" spans="1:18" x14ac:dyDescent="0.3">
      <c r="A41">
        <v>12164</v>
      </c>
      <c r="B41" t="str">
        <f t="shared" si="0"/>
        <v xml:space="preserve">713-06707 </v>
      </c>
      <c r="C41" t="s">
        <v>54</v>
      </c>
      <c r="D41" s="1"/>
      <c r="E41" s="1"/>
      <c r="F41" s="1"/>
      <c r="G41" s="1"/>
      <c r="H41" s="1"/>
      <c r="I41" s="1"/>
      <c r="J41" s="1"/>
      <c r="K41" s="1"/>
      <c r="L41" s="1"/>
      <c r="M41" s="1">
        <v>1140</v>
      </c>
      <c r="N41" s="1"/>
      <c r="O41" s="1">
        <v>1140</v>
      </c>
      <c r="P41" s="1">
        <v>1140</v>
      </c>
      <c r="Q41" s="1"/>
      <c r="R41" s="1"/>
    </row>
    <row r="42" spans="1:18" x14ac:dyDescent="0.3">
      <c r="A42">
        <v>12170</v>
      </c>
      <c r="B42" t="str">
        <f t="shared" si="0"/>
        <v xml:space="preserve">713-06709 </v>
      </c>
      <c r="C42" t="s">
        <v>55</v>
      </c>
      <c r="D42" s="1"/>
      <c r="E42" s="1"/>
      <c r="F42" s="1"/>
      <c r="G42" s="1"/>
      <c r="H42" s="1"/>
      <c r="I42" s="1"/>
      <c r="J42" s="1"/>
      <c r="K42" s="1"/>
      <c r="L42" s="1"/>
      <c r="M42" s="1">
        <v>380</v>
      </c>
      <c r="N42" s="1"/>
      <c r="O42" s="1">
        <v>380</v>
      </c>
      <c r="P42" s="1">
        <v>380</v>
      </c>
      <c r="Q42" s="1"/>
      <c r="R42" s="1"/>
    </row>
    <row r="43" spans="1:18" x14ac:dyDescent="0.3">
      <c r="A43">
        <v>12153</v>
      </c>
      <c r="B43" t="str">
        <f t="shared" si="0"/>
        <v xml:space="preserve">713-06712 </v>
      </c>
      <c r="C43" t="s">
        <v>56</v>
      </c>
      <c r="D43" s="1"/>
      <c r="E43" s="1"/>
      <c r="F43" s="1"/>
      <c r="G43" s="1"/>
      <c r="H43" s="1"/>
      <c r="I43" s="1"/>
      <c r="J43" s="1"/>
      <c r="K43" s="1"/>
      <c r="L43" s="1"/>
      <c r="M43" s="1">
        <v>48260</v>
      </c>
      <c r="N43" s="1"/>
      <c r="O43" s="1">
        <v>48260</v>
      </c>
      <c r="P43" s="1">
        <v>48260</v>
      </c>
      <c r="Q43" s="1"/>
      <c r="R43" s="1"/>
    </row>
    <row r="44" spans="1:18" x14ac:dyDescent="0.3">
      <c r="A44">
        <v>12173</v>
      </c>
      <c r="B44" t="str">
        <f t="shared" si="0"/>
        <v xml:space="preserve">713-06855 </v>
      </c>
      <c r="C44" t="s">
        <v>57</v>
      </c>
      <c r="D44" s="1"/>
      <c r="E44" s="1"/>
      <c r="F44" s="1"/>
      <c r="G44" s="1"/>
      <c r="H44" s="1"/>
      <c r="I44" s="1"/>
      <c r="J44" s="1"/>
      <c r="K44" s="1"/>
      <c r="L44" s="1"/>
      <c r="M44" s="1">
        <v>3800</v>
      </c>
      <c r="N44" s="1"/>
      <c r="O44" s="1">
        <v>3800</v>
      </c>
      <c r="P44" s="1">
        <v>3800</v>
      </c>
      <c r="Q44" s="1"/>
      <c r="R44" s="1"/>
    </row>
    <row r="45" spans="1:18" x14ac:dyDescent="0.3">
      <c r="A45">
        <v>12167</v>
      </c>
      <c r="B45" t="str">
        <f t="shared" si="0"/>
        <v xml:space="preserve">713-07073 </v>
      </c>
      <c r="C45" t="s">
        <v>58</v>
      </c>
      <c r="D45" s="1"/>
      <c r="E45" s="1"/>
      <c r="F45" s="1"/>
      <c r="G45" s="1"/>
      <c r="H45" s="1"/>
      <c r="I45" s="1"/>
      <c r="J45" s="1"/>
      <c r="K45" s="1">
        <v>6840</v>
      </c>
      <c r="L45" s="1"/>
      <c r="M45" s="1"/>
      <c r="N45" s="1"/>
      <c r="O45" s="1">
        <v>6840</v>
      </c>
      <c r="P45" s="1">
        <v>6840</v>
      </c>
      <c r="Q45" s="1"/>
      <c r="R45" s="1"/>
    </row>
    <row r="46" spans="1:18" x14ac:dyDescent="0.3">
      <c r="A46">
        <v>12168</v>
      </c>
      <c r="B46" t="str">
        <f t="shared" si="0"/>
        <v xml:space="preserve">713-07074 </v>
      </c>
      <c r="C46" t="s">
        <v>59</v>
      </c>
      <c r="D46" s="1"/>
      <c r="E46" s="1"/>
      <c r="F46" s="1"/>
      <c r="G46" s="1"/>
      <c r="H46" s="1"/>
      <c r="I46" s="1"/>
      <c r="J46" s="1"/>
      <c r="K46" s="1"/>
      <c r="L46" s="1"/>
      <c r="M46" s="1">
        <v>49020</v>
      </c>
      <c r="N46" s="1"/>
      <c r="O46" s="1">
        <v>49020</v>
      </c>
      <c r="P46" s="1">
        <v>49020</v>
      </c>
      <c r="Q46" s="1"/>
      <c r="R46" s="1"/>
    </row>
    <row r="47" spans="1:18" x14ac:dyDescent="0.3">
      <c r="A47">
        <v>12204</v>
      </c>
      <c r="B47" t="str">
        <f t="shared" si="0"/>
        <v xml:space="preserve">713-07342 </v>
      </c>
      <c r="C47" t="s">
        <v>60</v>
      </c>
      <c r="D47" s="1"/>
      <c r="E47" s="1"/>
      <c r="F47" s="1"/>
      <c r="G47" s="1"/>
      <c r="H47" s="1"/>
      <c r="I47" s="1"/>
      <c r="J47" s="1"/>
      <c r="K47" s="1"/>
      <c r="L47" s="1">
        <v>1140</v>
      </c>
      <c r="M47" s="1"/>
      <c r="N47" s="1">
        <v>166820</v>
      </c>
      <c r="O47" s="1">
        <v>167960</v>
      </c>
      <c r="P47" s="1">
        <v>167960</v>
      </c>
      <c r="Q47" s="1"/>
      <c r="R47" s="1"/>
    </row>
    <row r="48" spans="1:18" s="2" customFormat="1" x14ac:dyDescent="0.3">
      <c r="A48" s="2">
        <v>12210</v>
      </c>
      <c r="B48" s="2" t="str">
        <f t="shared" si="0"/>
        <v xml:space="preserve">713-07346 </v>
      </c>
      <c r="C48" s="2" t="s">
        <v>61</v>
      </c>
      <c r="D48" s="3"/>
      <c r="E48" s="3"/>
      <c r="F48" s="3"/>
      <c r="G48" s="3"/>
      <c r="H48" s="3"/>
      <c r="I48" s="3"/>
      <c r="J48" s="3"/>
      <c r="K48" s="3"/>
      <c r="L48" s="3"/>
      <c r="M48" s="3">
        <v>47880</v>
      </c>
      <c r="N48" s="3"/>
      <c r="O48" s="3">
        <v>47880</v>
      </c>
      <c r="P48" s="3">
        <v>47880</v>
      </c>
      <c r="Q48" s="3">
        <v>72000</v>
      </c>
      <c r="R48" s="3">
        <v>47500</v>
      </c>
    </row>
    <row r="49" spans="1:18" s="2" customFormat="1" x14ac:dyDescent="0.3">
      <c r="A49" s="2">
        <v>12131</v>
      </c>
      <c r="B49" s="2" t="str">
        <f t="shared" si="0"/>
        <v xml:space="preserve">713-07504 </v>
      </c>
      <c r="C49" s="2" t="s">
        <v>62</v>
      </c>
      <c r="D49" s="3"/>
      <c r="E49" s="3"/>
      <c r="F49" s="3"/>
      <c r="G49" s="3"/>
      <c r="H49" s="3"/>
      <c r="I49" s="3"/>
      <c r="J49" s="3"/>
      <c r="K49" s="3"/>
      <c r="L49" s="3">
        <v>760</v>
      </c>
      <c r="M49" s="3"/>
      <c r="N49" s="3">
        <v>206720</v>
      </c>
      <c r="O49" s="3">
        <v>207480</v>
      </c>
      <c r="P49" s="3">
        <v>207480</v>
      </c>
      <c r="Q49" s="3">
        <v>190000</v>
      </c>
      <c r="R49" s="3">
        <v>47500</v>
      </c>
    </row>
    <row r="50" spans="1:18" x14ac:dyDescent="0.3">
      <c r="A50">
        <v>12244</v>
      </c>
      <c r="B50" t="str">
        <f t="shared" si="0"/>
        <v xml:space="preserve">713-07669 </v>
      </c>
      <c r="C50" t="s">
        <v>63</v>
      </c>
      <c r="D50" s="1"/>
      <c r="E50" s="1"/>
      <c r="F50" s="1"/>
      <c r="G50" s="1"/>
      <c r="H50" s="1"/>
      <c r="I50" s="1"/>
      <c r="J50" s="1"/>
      <c r="K50" s="1">
        <v>1900</v>
      </c>
      <c r="L50" s="1"/>
      <c r="M50" s="1"/>
      <c r="N50" s="1">
        <v>30020</v>
      </c>
      <c r="O50" s="1">
        <v>31920</v>
      </c>
      <c r="P50" s="1">
        <v>31920</v>
      </c>
      <c r="Q50" s="1"/>
      <c r="R50" s="1"/>
    </row>
    <row r="51" spans="1:18" x14ac:dyDescent="0.3">
      <c r="A51">
        <v>12245</v>
      </c>
      <c r="B51" t="str">
        <f t="shared" si="0"/>
        <v xml:space="preserve">713-07670 </v>
      </c>
      <c r="C51" t="s">
        <v>64</v>
      </c>
      <c r="D51" s="1"/>
      <c r="E51" s="1"/>
      <c r="F51" s="1"/>
      <c r="G51" s="1"/>
      <c r="H51" s="1"/>
      <c r="I51" s="1"/>
      <c r="J51" s="1"/>
      <c r="K51" s="1"/>
      <c r="L51" s="1">
        <v>1520</v>
      </c>
      <c r="M51" s="1"/>
      <c r="N51" s="1"/>
      <c r="O51" s="1">
        <v>1520</v>
      </c>
      <c r="P51" s="1">
        <v>1520</v>
      </c>
      <c r="Q51" s="1"/>
      <c r="R51" s="1"/>
    </row>
    <row r="52" spans="1:18" x14ac:dyDescent="0.3">
      <c r="A52">
        <v>12201</v>
      </c>
      <c r="B52" t="str">
        <f t="shared" si="0"/>
        <v xml:space="preserve">713-07716 </v>
      </c>
      <c r="C52" t="s">
        <v>65</v>
      </c>
      <c r="D52" s="1"/>
      <c r="E52" s="1"/>
      <c r="F52" s="1"/>
      <c r="G52" s="1"/>
      <c r="H52" s="1"/>
      <c r="I52" s="1"/>
      <c r="J52" s="1"/>
      <c r="K52" s="1"/>
      <c r="L52" s="1"/>
      <c r="M52" s="1">
        <v>1520</v>
      </c>
      <c r="N52" s="1"/>
      <c r="O52" s="1">
        <v>1520</v>
      </c>
      <c r="P52" s="1">
        <v>1520</v>
      </c>
      <c r="Q52" s="1"/>
      <c r="R52" s="1"/>
    </row>
    <row r="53" spans="1:18" x14ac:dyDescent="0.3">
      <c r="A53">
        <v>12384</v>
      </c>
      <c r="B53" t="str">
        <f t="shared" si="0"/>
        <v xml:space="preserve">713-07786 </v>
      </c>
      <c r="C53" t="s">
        <v>66</v>
      </c>
      <c r="D53" s="1"/>
      <c r="E53" s="1"/>
      <c r="F53" s="1"/>
      <c r="G53" s="1"/>
      <c r="H53" s="1"/>
      <c r="I53" s="1"/>
      <c r="J53" s="1"/>
      <c r="K53" s="1">
        <v>760</v>
      </c>
      <c r="L53" s="1"/>
      <c r="M53" s="1"/>
      <c r="N53" s="1"/>
      <c r="O53" s="1">
        <v>760</v>
      </c>
      <c r="P53" s="1">
        <v>760</v>
      </c>
      <c r="Q53" s="1"/>
      <c r="R53" s="1"/>
    </row>
    <row r="54" spans="1:18" x14ac:dyDescent="0.3">
      <c r="A54">
        <v>12241</v>
      </c>
      <c r="B54" t="str">
        <f t="shared" si="0"/>
        <v xml:space="preserve">713-07830 </v>
      </c>
      <c r="C54" t="s">
        <v>67</v>
      </c>
      <c r="D54" s="1"/>
      <c r="E54" s="1"/>
      <c r="F54" s="1"/>
      <c r="G54" s="1"/>
      <c r="H54" s="1"/>
      <c r="I54" s="1"/>
      <c r="J54" s="1"/>
      <c r="K54" s="1"/>
      <c r="L54" s="1"/>
      <c r="M54" s="1">
        <v>1520</v>
      </c>
      <c r="N54" s="1"/>
      <c r="O54" s="1">
        <v>1520</v>
      </c>
      <c r="P54" s="1">
        <v>1520</v>
      </c>
      <c r="Q54" s="1"/>
      <c r="R54" s="1"/>
    </row>
    <row r="55" spans="1:18" s="2" customFormat="1" x14ac:dyDescent="0.3">
      <c r="A55" s="2">
        <v>12263</v>
      </c>
      <c r="B55" s="2" t="str">
        <f t="shared" si="0"/>
        <v xml:space="preserve">713-07866 </v>
      </c>
      <c r="C55" s="2" t="s">
        <v>68</v>
      </c>
      <c r="D55" s="3"/>
      <c r="E55" s="3"/>
      <c r="F55" s="3"/>
      <c r="G55" s="3"/>
      <c r="H55" s="3"/>
      <c r="I55" s="3"/>
      <c r="J55" s="3"/>
      <c r="K55" s="3">
        <v>104500</v>
      </c>
      <c r="L55" s="3">
        <v>179360</v>
      </c>
      <c r="M55" s="3"/>
      <c r="N55" s="3"/>
      <c r="O55" s="3">
        <v>283860</v>
      </c>
      <c r="P55" s="3">
        <v>283860</v>
      </c>
      <c r="Q55" s="3">
        <v>570000</v>
      </c>
      <c r="R55" s="3">
        <v>380000</v>
      </c>
    </row>
    <row r="56" spans="1:18" x14ac:dyDescent="0.3">
      <c r="A56">
        <v>12392</v>
      </c>
      <c r="B56" t="str">
        <f t="shared" si="0"/>
        <v xml:space="preserve">713-07883 </v>
      </c>
      <c r="C56" t="s">
        <v>69</v>
      </c>
      <c r="D56" s="1"/>
      <c r="E56" s="1"/>
      <c r="F56" s="1"/>
      <c r="G56" s="1"/>
      <c r="H56" s="1"/>
      <c r="I56" s="1"/>
      <c r="J56" s="1">
        <v>380</v>
      </c>
      <c r="K56" s="1"/>
      <c r="L56" s="1"/>
      <c r="M56" s="1"/>
      <c r="N56" s="1"/>
      <c r="O56" s="1">
        <v>380</v>
      </c>
      <c r="P56" s="1">
        <v>380</v>
      </c>
      <c r="Q56" s="1"/>
      <c r="R56" s="1"/>
    </row>
    <row r="57" spans="1:18" s="2" customFormat="1" x14ac:dyDescent="0.3">
      <c r="A57" s="2">
        <v>12246</v>
      </c>
      <c r="B57" s="2" t="str">
        <f t="shared" si="0"/>
        <v xml:space="preserve">713-07910 </v>
      </c>
      <c r="C57" s="2" t="s">
        <v>70</v>
      </c>
      <c r="D57" s="3"/>
      <c r="E57" s="3"/>
      <c r="F57" s="3"/>
      <c r="G57" s="3"/>
      <c r="H57" s="3"/>
      <c r="I57" s="3"/>
      <c r="J57" s="3"/>
      <c r="K57" s="3"/>
      <c r="L57" s="3"/>
      <c r="M57" s="3">
        <v>1900</v>
      </c>
      <c r="N57" s="3">
        <v>310460</v>
      </c>
      <c r="O57" s="3">
        <v>312360</v>
      </c>
      <c r="P57" s="3">
        <v>312360</v>
      </c>
      <c r="Q57" s="3">
        <v>950000</v>
      </c>
      <c r="R57" s="3">
        <v>570000</v>
      </c>
    </row>
    <row r="58" spans="1:18" x14ac:dyDescent="0.3">
      <c r="A58">
        <v>12251</v>
      </c>
      <c r="B58" t="str">
        <f t="shared" si="0"/>
        <v xml:space="preserve">713-07965 </v>
      </c>
      <c r="C58" t="s">
        <v>71</v>
      </c>
      <c r="D58" s="1"/>
      <c r="E58" s="1"/>
      <c r="F58" s="1"/>
      <c r="G58" s="1"/>
      <c r="H58" s="1"/>
      <c r="I58" s="1"/>
      <c r="J58" s="1"/>
      <c r="K58" s="1"/>
      <c r="L58" s="1">
        <v>1900</v>
      </c>
      <c r="M58" s="1"/>
      <c r="N58" s="1"/>
      <c r="O58" s="1">
        <v>1900</v>
      </c>
      <c r="P58" s="1">
        <v>1900</v>
      </c>
      <c r="Q58" s="1"/>
      <c r="R58" s="1"/>
    </row>
    <row r="59" spans="1:18" x14ac:dyDescent="0.3">
      <c r="A59">
        <v>12253</v>
      </c>
      <c r="B59" t="str">
        <f t="shared" si="0"/>
        <v xml:space="preserve">713-07966 </v>
      </c>
      <c r="C59" t="s">
        <v>72</v>
      </c>
      <c r="D59" s="1"/>
      <c r="E59" s="1"/>
      <c r="F59" s="1"/>
      <c r="G59" s="1"/>
      <c r="H59" s="1"/>
      <c r="I59" s="1"/>
      <c r="J59" s="1"/>
      <c r="K59" s="1"/>
      <c r="L59" s="1">
        <v>1140</v>
      </c>
      <c r="M59" s="1"/>
      <c r="N59" s="1"/>
      <c r="O59" s="1">
        <v>1140</v>
      </c>
      <c r="P59" s="1">
        <v>1140</v>
      </c>
      <c r="Q59" s="1"/>
      <c r="R59" s="1"/>
    </row>
    <row r="60" spans="1:18" x14ac:dyDescent="0.3">
      <c r="A60">
        <v>12304</v>
      </c>
      <c r="B60" t="str">
        <f t="shared" si="0"/>
        <v xml:space="preserve">713-07982 </v>
      </c>
      <c r="C60" t="s">
        <v>73</v>
      </c>
      <c r="D60" s="1"/>
      <c r="E60" s="1"/>
      <c r="F60" s="1"/>
      <c r="G60" s="1"/>
      <c r="H60" s="1"/>
      <c r="I60" s="1"/>
      <c r="J60" s="1"/>
      <c r="K60" s="1"/>
      <c r="L60" s="1">
        <v>1520</v>
      </c>
      <c r="M60" s="1"/>
      <c r="N60" s="1"/>
      <c r="O60" s="1">
        <v>1520</v>
      </c>
      <c r="P60" s="1">
        <v>1520</v>
      </c>
      <c r="Q60" s="1"/>
      <c r="R60" s="1"/>
    </row>
    <row r="61" spans="1:18" s="2" customFormat="1" x14ac:dyDescent="0.3">
      <c r="A61" s="2">
        <v>12354</v>
      </c>
      <c r="B61" s="2" t="str">
        <f t="shared" si="0"/>
        <v xml:space="preserve">713-08003 </v>
      </c>
      <c r="C61" s="2" t="s">
        <v>74</v>
      </c>
      <c r="D61" s="3"/>
      <c r="E61" s="3"/>
      <c r="F61" s="3"/>
      <c r="G61" s="3"/>
      <c r="H61" s="3"/>
      <c r="I61" s="3"/>
      <c r="J61" s="3"/>
      <c r="K61" s="3"/>
      <c r="L61" s="3"/>
      <c r="M61" s="3">
        <v>1900</v>
      </c>
      <c r="N61" s="3"/>
      <c r="O61" s="3">
        <v>1900</v>
      </c>
      <c r="P61" s="3">
        <v>1900</v>
      </c>
      <c r="Q61" s="3">
        <v>475000</v>
      </c>
      <c r="R61" s="3">
        <v>380000</v>
      </c>
    </row>
    <row r="62" spans="1:18" x14ac:dyDescent="0.3">
      <c r="A62">
        <v>12284</v>
      </c>
      <c r="B62" t="str">
        <f t="shared" si="0"/>
        <v xml:space="preserve">713-08007 </v>
      </c>
      <c r="C62" t="s">
        <v>75</v>
      </c>
      <c r="D62" s="1"/>
      <c r="E62" s="1"/>
      <c r="F62" s="1"/>
      <c r="G62" s="1"/>
      <c r="H62" s="1"/>
      <c r="I62" s="1"/>
      <c r="J62" s="1"/>
      <c r="K62" s="1"/>
      <c r="L62" s="1"/>
      <c r="M62" s="1">
        <v>61180</v>
      </c>
      <c r="N62" s="1"/>
      <c r="O62" s="1">
        <v>61180</v>
      </c>
      <c r="P62" s="1">
        <v>61180</v>
      </c>
      <c r="Q62" s="1"/>
      <c r="R62" s="1"/>
    </row>
    <row r="63" spans="1:18" x14ac:dyDescent="0.3">
      <c r="A63">
        <v>12373</v>
      </c>
      <c r="B63" t="str">
        <f t="shared" si="0"/>
        <v xml:space="preserve">713-08018 </v>
      </c>
      <c r="C63" t="s">
        <v>76</v>
      </c>
      <c r="D63" s="1"/>
      <c r="E63" s="1"/>
      <c r="F63" s="1"/>
      <c r="G63" s="1"/>
      <c r="H63" s="1"/>
      <c r="I63" s="1"/>
      <c r="J63" s="1"/>
      <c r="K63" s="1"/>
      <c r="L63" s="1">
        <v>380</v>
      </c>
      <c r="M63" s="1"/>
      <c r="N63" s="1"/>
      <c r="O63" s="1">
        <v>380</v>
      </c>
      <c r="P63" s="1">
        <v>380</v>
      </c>
      <c r="Q63" s="1"/>
      <c r="R63" s="1"/>
    </row>
    <row r="64" spans="1:18" x14ac:dyDescent="0.3">
      <c r="A64">
        <v>12313</v>
      </c>
      <c r="B64" t="str">
        <f t="shared" si="0"/>
        <v xml:space="preserve">713-08041 </v>
      </c>
      <c r="C64" t="s">
        <v>77</v>
      </c>
      <c r="D64" s="1"/>
      <c r="E64" s="1"/>
      <c r="F64" s="1"/>
      <c r="G64" s="1"/>
      <c r="H64" s="1"/>
      <c r="I64" s="1"/>
      <c r="J64" s="1"/>
      <c r="K64" s="1">
        <v>1900</v>
      </c>
      <c r="L64" s="1"/>
      <c r="M64" s="1"/>
      <c r="N64" s="1"/>
      <c r="O64" s="1">
        <v>1900</v>
      </c>
      <c r="P64" s="1">
        <v>1900</v>
      </c>
      <c r="Q64" s="1"/>
      <c r="R64" s="1"/>
    </row>
    <row r="65" spans="1:18" x14ac:dyDescent="0.3">
      <c r="A65">
        <v>12311</v>
      </c>
      <c r="B65" t="str">
        <f t="shared" si="0"/>
        <v xml:space="preserve">713-08042 </v>
      </c>
      <c r="C65" t="s">
        <v>78</v>
      </c>
      <c r="D65" s="1"/>
      <c r="E65" s="1"/>
      <c r="F65" s="1"/>
      <c r="G65" s="1"/>
      <c r="H65" s="1"/>
      <c r="I65" s="1"/>
      <c r="J65" s="1"/>
      <c r="K65" s="1"/>
      <c r="L65" s="1">
        <v>380</v>
      </c>
      <c r="M65" s="1"/>
      <c r="N65" s="1"/>
      <c r="O65" s="1">
        <v>380</v>
      </c>
      <c r="P65" s="1">
        <v>380</v>
      </c>
      <c r="Q65" s="1"/>
      <c r="R65" s="1"/>
    </row>
    <row r="66" spans="1:18" x14ac:dyDescent="0.3">
      <c r="A66">
        <v>12295</v>
      </c>
      <c r="B66" t="str">
        <f t="shared" si="0"/>
        <v xml:space="preserve">713-08090 </v>
      </c>
      <c r="C66" t="s">
        <v>79</v>
      </c>
      <c r="D66" s="1"/>
      <c r="E66" s="1"/>
      <c r="F66" s="1"/>
      <c r="G66" s="1"/>
      <c r="H66" s="1"/>
      <c r="I66" s="1"/>
      <c r="J66" s="1"/>
      <c r="K66" s="1"/>
      <c r="L66" s="1"/>
      <c r="M66" s="1">
        <v>760</v>
      </c>
      <c r="N66" s="1"/>
      <c r="O66" s="1">
        <v>760</v>
      </c>
      <c r="P66" s="1">
        <v>760</v>
      </c>
      <c r="Q66" s="1"/>
      <c r="R66" s="1"/>
    </row>
    <row r="67" spans="1:18" x14ac:dyDescent="0.3">
      <c r="A67">
        <v>12388</v>
      </c>
      <c r="B67" t="str">
        <f t="shared" si="0"/>
        <v xml:space="preserve">713-08095 </v>
      </c>
      <c r="C67" t="s">
        <v>80</v>
      </c>
      <c r="D67" s="1"/>
      <c r="E67" s="1"/>
      <c r="F67" s="1"/>
      <c r="G67" s="1"/>
      <c r="H67" s="1">
        <v>20520</v>
      </c>
      <c r="I67" s="1"/>
      <c r="J67" s="1"/>
      <c r="K67" s="1"/>
      <c r="L67" s="1"/>
      <c r="M67" s="1"/>
      <c r="N67" s="1"/>
      <c r="O67" s="1">
        <v>20520</v>
      </c>
      <c r="P67" s="1">
        <v>20520</v>
      </c>
      <c r="Q67" s="1"/>
      <c r="R67" s="1"/>
    </row>
    <row r="68" spans="1:18" x14ac:dyDescent="0.3">
      <c r="A68">
        <v>12305</v>
      </c>
      <c r="B68" t="str">
        <f t="shared" si="0"/>
        <v xml:space="preserve">713-08099 </v>
      </c>
      <c r="C68" t="s">
        <v>81</v>
      </c>
      <c r="D68" s="1"/>
      <c r="E68" s="1"/>
      <c r="F68" s="1"/>
      <c r="G68" s="1"/>
      <c r="H68" s="1"/>
      <c r="I68" s="1"/>
      <c r="J68" s="1"/>
      <c r="K68" s="1"/>
      <c r="L68" s="1">
        <v>380</v>
      </c>
      <c r="M68" s="1"/>
      <c r="N68" s="1"/>
      <c r="O68" s="1">
        <v>380</v>
      </c>
      <c r="P68" s="1">
        <v>380</v>
      </c>
      <c r="Q68" s="1"/>
      <c r="R68" s="1"/>
    </row>
    <row r="69" spans="1:18" x14ac:dyDescent="0.3">
      <c r="A69">
        <v>12116</v>
      </c>
      <c r="B69" t="str">
        <f t="shared" si="0"/>
        <v xml:space="preserve">713-08104 </v>
      </c>
      <c r="C69" t="s">
        <v>82</v>
      </c>
      <c r="D69" s="1"/>
      <c r="E69" s="1"/>
      <c r="F69" s="1"/>
      <c r="G69" s="1"/>
      <c r="H69" s="1"/>
      <c r="I69" s="1"/>
      <c r="J69" s="1"/>
      <c r="K69" s="1"/>
      <c r="L69" s="1">
        <v>5700</v>
      </c>
      <c r="M69" s="1"/>
      <c r="N69" s="1"/>
      <c r="O69" s="1">
        <v>5700</v>
      </c>
      <c r="P69" s="1">
        <v>5700</v>
      </c>
      <c r="Q69" s="1"/>
      <c r="R69" s="1"/>
    </row>
    <row r="70" spans="1:18" x14ac:dyDescent="0.3">
      <c r="A70">
        <v>12415</v>
      </c>
      <c r="B70" t="str">
        <f t="shared" ref="B70:B111" si="1">MID(C70,1,10)</f>
        <v xml:space="preserve">713-08118 </v>
      </c>
      <c r="C70" t="s">
        <v>83</v>
      </c>
      <c r="D70" s="1"/>
      <c r="E70" s="1"/>
      <c r="F70" s="1"/>
      <c r="G70" s="1"/>
      <c r="H70" s="1"/>
      <c r="I70" s="1"/>
      <c r="J70" s="1"/>
      <c r="K70" s="1"/>
      <c r="L70" s="1"/>
      <c r="M70" s="1">
        <v>112100</v>
      </c>
      <c r="N70" s="1"/>
      <c r="O70" s="1">
        <v>112100</v>
      </c>
      <c r="P70" s="1">
        <v>112100</v>
      </c>
      <c r="Q70" s="1"/>
      <c r="R70" s="1"/>
    </row>
    <row r="71" spans="1:18" x14ac:dyDescent="0.3">
      <c r="A71">
        <v>12417</v>
      </c>
      <c r="B71" t="str">
        <f t="shared" si="1"/>
        <v xml:space="preserve">713-08119 </v>
      </c>
      <c r="C71" t="s">
        <v>84</v>
      </c>
      <c r="D71" s="1"/>
      <c r="E71" s="1"/>
      <c r="F71" s="1"/>
      <c r="G71" s="1"/>
      <c r="H71" s="1"/>
      <c r="I71" s="1"/>
      <c r="J71" s="1"/>
      <c r="K71" s="1"/>
      <c r="L71" s="1"/>
      <c r="M71" s="1">
        <v>91580</v>
      </c>
      <c r="N71" s="1"/>
      <c r="O71" s="1">
        <v>91580</v>
      </c>
      <c r="P71" s="1">
        <v>91580</v>
      </c>
      <c r="Q71" s="1"/>
      <c r="R71" s="1"/>
    </row>
    <row r="72" spans="1:18" x14ac:dyDescent="0.3">
      <c r="A72">
        <v>12338</v>
      </c>
      <c r="B72" t="str">
        <f t="shared" si="1"/>
        <v xml:space="preserve">713-08202 </v>
      </c>
      <c r="C72" t="s">
        <v>85</v>
      </c>
      <c r="D72" s="1"/>
      <c r="E72" s="1"/>
      <c r="F72" s="1"/>
      <c r="G72" s="1"/>
      <c r="H72" s="1"/>
      <c r="I72" s="1"/>
      <c r="J72" s="1"/>
      <c r="K72" s="1">
        <v>1140</v>
      </c>
      <c r="L72" s="1"/>
      <c r="M72" s="1"/>
      <c r="N72" s="1"/>
      <c r="O72" s="1">
        <v>1140</v>
      </c>
      <c r="P72" s="1">
        <v>1140</v>
      </c>
      <c r="Q72" s="1"/>
      <c r="R72" s="1"/>
    </row>
    <row r="73" spans="1:18" s="2" customFormat="1" x14ac:dyDescent="0.3">
      <c r="A73" s="2">
        <v>12007</v>
      </c>
      <c r="B73" s="2" t="str">
        <f t="shared" si="1"/>
        <v xml:space="preserve">713-08362 </v>
      </c>
      <c r="C73" s="2" t="s">
        <v>86</v>
      </c>
      <c r="D73" s="3"/>
      <c r="E73" s="3"/>
      <c r="F73" s="3"/>
      <c r="G73" s="3"/>
      <c r="H73" s="3"/>
      <c r="I73" s="3"/>
      <c r="J73" s="3"/>
      <c r="K73" s="3"/>
      <c r="L73" s="3"/>
      <c r="M73" s="3">
        <v>1280980</v>
      </c>
      <c r="N73" s="3"/>
      <c r="O73" s="3">
        <v>1280980</v>
      </c>
      <c r="P73" s="3">
        <v>1280980</v>
      </c>
      <c r="Q73" s="3">
        <v>1425000</v>
      </c>
      <c r="R73" s="3">
        <v>760000</v>
      </c>
    </row>
    <row r="74" spans="1:18" x14ac:dyDescent="0.3">
      <c r="A74">
        <v>12442</v>
      </c>
      <c r="B74" t="str">
        <f t="shared" si="1"/>
        <v xml:space="preserve">713-08389 </v>
      </c>
      <c r="C74" t="s">
        <v>87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>
        <v>15580</v>
      </c>
      <c r="O74" s="1">
        <v>15580</v>
      </c>
      <c r="P74" s="1">
        <v>15580</v>
      </c>
      <c r="Q74" s="1"/>
      <c r="R74" s="1"/>
    </row>
    <row r="75" spans="1:18" s="2" customFormat="1" x14ac:dyDescent="0.3">
      <c r="A75" s="2">
        <v>12427</v>
      </c>
      <c r="B75" s="2" t="str">
        <f t="shared" si="1"/>
        <v xml:space="preserve">713-08422 </v>
      </c>
      <c r="C75" s="2" t="s">
        <v>88</v>
      </c>
      <c r="D75" s="3"/>
      <c r="E75" s="3"/>
      <c r="F75" s="3"/>
      <c r="G75" s="3"/>
      <c r="H75" s="3"/>
      <c r="I75" s="3"/>
      <c r="J75" s="3"/>
      <c r="K75" s="3"/>
      <c r="L75" s="3"/>
      <c r="M75" s="3">
        <v>286520</v>
      </c>
      <c r="N75" s="3"/>
      <c r="O75" s="3">
        <v>286520</v>
      </c>
      <c r="P75" s="3">
        <v>286520</v>
      </c>
      <c r="Q75" s="3">
        <v>190000</v>
      </c>
      <c r="R75" s="3">
        <v>95000</v>
      </c>
    </row>
    <row r="76" spans="1:18" x14ac:dyDescent="0.3">
      <c r="A76">
        <v>12425</v>
      </c>
      <c r="B76" t="str">
        <f t="shared" si="1"/>
        <v xml:space="preserve">713-08431 </v>
      </c>
      <c r="C76" t="s">
        <v>89</v>
      </c>
      <c r="D76" s="1"/>
      <c r="E76" s="1"/>
      <c r="F76" s="1"/>
      <c r="G76" s="1"/>
      <c r="H76" s="1"/>
      <c r="I76" s="1"/>
      <c r="J76" s="1"/>
      <c r="K76" s="1"/>
      <c r="L76" s="1"/>
      <c r="M76" s="1">
        <v>15960</v>
      </c>
      <c r="N76" s="1"/>
      <c r="O76" s="1">
        <v>15960</v>
      </c>
      <c r="P76" s="1">
        <v>15960</v>
      </c>
      <c r="Q76" s="1"/>
      <c r="R76" s="1"/>
    </row>
    <row r="77" spans="1:18" x14ac:dyDescent="0.3">
      <c r="A77">
        <v>12608</v>
      </c>
      <c r="B77" t="str">
        <f t="shared" si="1"/>
        <v xml:space="preserve">713-08470 </v>
      </c>
      <c r="C77" t="s">
        <v>90</v>
      </c>
      <c r="D77" s="1">
        <v>29260</v>
      </c>
      <c r="E77" s="1"/>
      <c r="F77" s="1">
        <v>29260</v>
      </c>
      <c r="G77" s="1"/>
      <c r="H77" s="1"/>
      <c r="I77" s="1"/>
      <c r="J77" s="1"/>
      <c r="K77" s="1"/>
      <c r="L77" s="1"/>
      <c r="M77" s="1"/>
      <c r="N77" s="1"/>
      <c r="O77" s="1"/>
      <c r="P77" s="1">
        <v>29260</v>
      </c>
      <c r="Q77" s="1"/>
      <c r="R77" s="1"/>
    </row>
    <row r="78" spans="1:18" x14ac:dyDescent="0.3">
      <c r="A78">
        <v>12609</v>
      </c>
      <c r="B78" t="str">
        <f t="shared" si="1"/>
        <v xml:space="preserve">713-08483 </v>
      </c>
      <c r="C78" t="s">
        <v>91</v>
      </c>
      <c r="D78" s="1"/>
      <c r="E78" s="1"/>
      <c r="F78" s="1"/>
      <c r="G78" s="1"/>
      <c r="H78" s="1"/>
      <c r="I78" s="1"/>
      <c r="J78" s="1"/>
      <c r="K78" s="1">
        <v>4180</v>
      </c>
      <c r="L78" s="1"/>
      <c r="M78" s="1"/>
      <c r="N78" s="1"/>
      <c r="O78" s="1">
        <v>4180</v>
      </c>
      <c r="P78" s="1">
        <v>4180</v>
      </c>
      <c r="Q78" s="1"/>
      <c r="R78" s="1"/>
    </row>
    <row r="79" spans="1:18" x14ac:dyDescent="0.3">
      <c r="A79">
        <v>12611</v>
      </c>
      <c r="B79" t="str">
        <f t="shared" si="1"/>
        <v xml:space="preserve">713-08484 </v>
      </c>
      <c r="C79" t="s">
        <v>92</v>
      </c>
      <c r="D79" s="1"/>
      <c r="E79" s="1"/>
      <c r="F79" s="1"/>
      <c r="G79" s="1"/>
      <c r="H79" s="1"/>
      <c r="I79" s="1"/>
      <c r="J79" s="1"/>
      <c r="K79" s="1">
        <v>1520</v>
      </c>
      <c r="L79" s="1"/>
      <c r="M79" s="1"/>
      <c r="N79" s="1">
        <v>104120</v>
      </c>
      <c r="O79" s="1">
        <v>105640</v>
      </c>
      <c r="P79" s="1">
        <v>105640</v>
      </c>
      <c r="Q79" s="1"/>
      <c r="R79" s="1"/>
    </row>
    <row r="80" spans="1:18" x14ac:dyDescent="0.3">
      <c r="A80">
        <v>12279</v>
      </c>
      <c r="B80" t="str">
        <f t="shared" si="1"/>
        <v xml:space="preserve">713-08584 </v>
      </c>
      <c r="C80" t="s">
        <v>93</v>
      </c>
      <c r="D80" s="1"/>
      <c r="E80" s="1"/>
      <c r="F80" s="1"/>
      <c r="G80" s="1"/>
      <c r="H80" s="1"/>
      <c r="I80" s="1"/>
      <c r="J80" s="1"/>
      <c r="K80" s="1"/>
      <c r="L80" s="1"/>
      <c r="M80" s="1">
        <v>96140</v>
      </c>
      <c r="N80" s="1"/>
      <c r="O80" s="1">
        <v>96140</v>
      </c>
      <c r="P80" s="1">
        <v>96140</v>
      </c>
      <c r="Q80" s="1"/>
      <c r="R80" s="1"/>
    </row>
    <row r="81" spans="1:18" x14ac:dyDescent="0.3">
      <c r="A81">
        <v>12462</v>
      </c>
      <c r="B81" t="str">
        <f t="shared" si="1"/>
        <v xml:space="preserve">713-08675 </v>
      </c>
      <c r="C81" t="s">
        <v>94</v>
      </c>
      <c r="D81" s="1"/>
      <c r="E81" s="1"/>
      <c r="F81" s="1"/>
      <c r="G81" s="1"/>
      <c r="H81" s="1"/>
      <c r="I81" s="1"/>
      <c r="J81" s="1"/>
      <c r="K81" s="1"/>
      <c r="L81" s="1"/>
      <c r="M81" s="1">
        <v>33440</v>
      </c>
      <c r="N81" s="1"/>
      <c r="O81" s="1">
        <v>33440</v>
      </c>
      <c r="P81" s="1">
        <v>33440</v>
      </c>
      <c r="Q81" s="1"/>
      <c r="R81" s="1"/>
    </row>
    <row r="82" spans="1:18" x14ac:dyDescent="0.3">
      <c r="A82">
        <v>12474</v>
      </c>
      <c r="B82" t="str">
        <f t="shared" si="1"/>
        <v xml:space="preserve">713-08813 </v>
      </c>
      <c r="C82" t="s">
        <v>95</v>
      </c>
      <c r="D82" s="1"/>
      <c r="E82" s="1"/>
      <c r="F82" s="1"/>
      <c r="G82" s="1"/>
      <c r="H82" s="1"/>
      <c r="I82" s="1"/>
      <c r="J82" s="1"/>
      <c r="K82" s="1"/>
      <c r="L82" s="1">
        <v>380</v>
      </c>
      <c r="M82" s="1"/>
      <c r="N82" s="1"/>
      <c r="O82" s="1">
        <v>380</v>
      </c>
      <c r="P82" s="1">
        <v>380</v>
      </c>
      <c r="Q82" s="1"/>
      <c r="R82" s="1"/>
    </row>
    <row r="83" spans="1:18" x14ac:dyDescent="0.3">
      <c r="A83">
        <v>12475</v>
      </c>
      <c r="B83" t="str">
        <f t="shared" si="1"/>
        <v xml:space="preserve">713-08814 </v>
      </c>
      <c r="C83" t="s">
        <v>96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>
        <v>15200</v>
      </c>
      <c r="O83" s="1">
        <v>15200</v>
      </c>
      <c r="P83" s="1">
        <v>15200</v>
      </c>
      <c r="Q83" s="1"/>
      <c r="R83" s="1"/>
    </row>
    <row r="84" spans="1:18" s="2" customFormat="1" x14ac:dyDescent="0.3">
      <c r="A84" s="2">
        <v>12695</v>
      </c>
      <c r="B84" s="2" t="str">
        <f t="shared" si="1"/>
        <v xml:space="preserve">713-08870 </v>
      </c>
      <c r="C84" s="2" t="s">
        <v>97</v>
      </c>
      <c r="D84" s="3"/>
      <c r="E84" s="3"/>
      <c r="F84" s="3"/>
      <c r="G84" s="3"/>
      <c r="H84" s="3"/>
      <c r="I84" s="3"/>
      <c r="J84" s="3"/>
      <c r="K84" s="3"/>
      <c r="L84" s="3">
        <v>1520</v>
      </c>
      <c r="M84" s="3">
        <v>381520</v>
      </c>
      <c r="N84" s="3"/>
      <c r="O84" s="3">
        <v>383040</v>
      </c>
      <c r="P84" s="3">
        <v>383040</v>
      </c>
      <c r="Q84" s="3">
        <v>570000</v>
      </c>
      <c r="R84" s="3">
        <v>380000</v>
      </c>
    </row>
    <row r="85" spans="1:18" x14ac:dyDescent="0.3">
      <c r="A85">
        <v>12694</v>
      </c>
      <c r="B85" t="str">
        <f t="shared" si="1"/>
        <v xml:space="preserve">713-08885 </v>
      </c>
      <c r="C85" t="s">
        <v>98</v>
      </c>
      <c r="D85" s="1"/>
      <c r="E85" s="1"/>
      <c r="F85" s="1"/>
      <c r="G85" s="1"/>
      <c r="H85" s="1"/>
      <c r="I85" s="1"/>
      <c r="J85" s="1"/>
      <c r="K85" s="1"/>
      <c r="L85" s="1"/>
      <c r="M85" s="1">
        <v>191140</v>
      </c>
      <c r="N85" s="1"/>
      <c r="O85" s="1">
        <v>191140</v>
      </c>
      <c r="P85" s="1">
        <v>191140</v>
      </c>
      <c r="Q85" s="1"/>
      <c r="R85" s="1"/>
    </row>
    <row r="86" spans="1:18" x14ac:dyDescent="0.3">
      <c r="A86">
        <v>12614</v>
      </c>
      <c r="B86" t="str">
        <f t="shared" si="1"/>
        <v xml:space="preserve">713-08918 </v>
      </c>
      <c r="C86" t="s">
        <v>99</v>
      </c>
      <c r="D86" s="1"/>
      <c r="E86" s="1"/>
      <c r="F86" s="1"/>
      <c r="G86" s="1"/>
      <c r="H86" s="1"/>
      <c r="I86" s="1"/>
      <c r="J86" s="1">
        <v>1140</v>
      </c>
      <c r="K86" s="1"/>
      <c r="L86" s="1"/>
      <c r="M86" s="1"/>
      <c r="N86" s="1"/>
      <c r="O86" s="1">
        <v>1140</v>
      </c>
      <c r="P86" s="1">
        <v>1140</v>
      </c>
      <c r="Q86" s="1"/>
      <c r="R86" s="1"/>
    </row>
    <row r="87" spans="1:18" s="2" customFormat="1" x14ac:dyDescent="0.3">
      <c r="A87" s="2">
        <v>12993</v>
      </c>
      <c r="B87" s="2" t="str">
        <f t="shared" si="1"/>
        <v xml:space="preserve">713-08990 </v>
      </c>
      <c r="C87" s="2" t="s">
        <v>100</v>
      </c>
      <c r="D87" s="3"/>
      <c r="E87" s="3"/>
      <c r="F87" s="3"/>
      <c r="G87" s="3"/>
      <c r="H87" s="3">
        <v>380</v>
      </c>
      <c r="I87" s="3"/>
      <c r="J87" s="3"/>
      <c r="K87" s="3">
        <v>189620</v>
      </c>
      <c r="L87" s="3">
        <v>95380</v>
      </c>
      <c r="M87" s="3"/>
      <c r="N87" s="3"/>
      <c r="O87" s="3">
        <v>285380</v>
      </c>
      <c r="P87" s="3">
        <v>285380</v>
      </c>
      <c r="Q87" s="3">
        <v>380000</v>
      </c>
      <c r="R87" s="3">
        <v>285000</v>
      </c>
    </row>
    <row r="88" spans="1:18" x14ac:dyDescent="0.3">
      <c r="A88">
        <v>12411</v>
      </c>
      <c r="B88" t="str">
        <f t="shared" si="1"/>
        <v xml:space="preserve">713-09021 </v>
      </c>
      <c r="C88" t="s">
        <v>101</v>
      </c>
      <c r="D88" s="1"/>
      <c r="E88" s="1">
        <v>13680</v>
      </c>
      <c r="F88" s="1">
        <v>13680</v>
      </c>
      <c r="G88" s="1"/>
      <c r="H88" s="1"/>
      <c r="I88" s="1"/>
      <c r="J88" s="1"/>
      <c r="K88" s="1"/>
      <c r="L88" s="1"/>
      <c r="M88" s="1"/>
      <c r="N88" s="1"/>
      <c r="O88" s="1"/>
      <c r="P88" s="1">
        <v>13680</v>
      </c>
      <c r="Q88" s="1"/>
      <c r="R88" s="1"/>
    </row>
    <row r="89" spans="1:18" x14ac:dyDescent="0.3">
      <c r="A89">
        <v>12382</v>
      </c>
      <c r="B89" t="str">
        <f t="shared" si="1"/>
        <v xml:space="preserve">713-09108 </v>
      </c>
      <c r="C89" t="s">
        <v>102</v>
      </c>
      <c r="D89" s="1"/>
      <c r="E89" s="1"/>
      <c r="F89" s="1"/>
      <c r="G89" s="1">
        <v>1140</v>
      </c>
      <c r="H89" s="1"/>
      <c r="I89" s="1"/>
      <c r="J89" s="1"/>
      <c r="K89" s="1"/>
      <c r="L89" s="1"/>
      <c r="M89" s="1"/>
      <c r="N89" s="1"/>
      <c r="O89" s="1">
        <v>1140</v>
      </c>
      <c r="P89" s="1">
        <v>1140</v>
      </c>
      <c r="Q89" s="1"/>
      <c r="R89" s="1"/>
    </row>
    <row r="90" spans="1:18" x14ac:dyDescent="0.3">
      <c r="A90">
        <v>12784</v>
      </c>
      <c r="B90" t="str">
        <f t="shared" si="1"/>
        <v xml:space="preserve">713-09186 </v>
      </c>
      <c r="C90" t="s">
        <v>103</v>
      </c>
      <c r="D90" s="1"/>
      <c r="E90" s="1"/>
      <c r="F90" s="1"/>
      <c r="G90" s="1"/>
      <c r="H90" s="1"/>
      <c r="I90" s="1"/>
      <c r="J90" s="1"/>
      <c r="K90" s="1"/>
      <c r="L90" s="1">
        <v>1520</v>
      </c>
      <c r="M90" s="1"/>
      <c r="N90" s="1"/>
      <c r="O90" s="1">
        <v>1520</v>
      </c>
      <c r="P90" s="1">
        <v>1520</v>
      </c>
      <c r="Q90" s="1"/>
      <c r="R90" s="1"/>
    </row>
    <row r="91" spans="1:18" x14ac:dyDescent="0.3">
      <c r="A91">
        <v>12785</v>
      </c>
      <c r="B91" t="str">
        <f t="shared" si="1"/>
        <v xml:space="preserve">713-09187 </v>
      </c>
      <c r="C91" t="s">
        <v>104</v>
      </c>
      <c r="D91" s="1"/>
      <c r="E91" s="1"/>
      <c r="F91" s="1"/>
      <c r="G91" s="1"/>
      <c r="H91" s="1"/>
      <c r="I91" s="1"/>
      <c r="J91" s="1"/>
      <c r="K91" s="1">
        <v>760</v>
      </c>
      <c r="L91" s="1"/>
      <c r="M91" s="1"/>
      <c r="N91" s="1"/>
      <c r="O91" s="1">
        <v>760</v>
      </c>
      <c r="P91" s="1">
        <v>760</v>
      </c>
      <c r="Q91" s="1"/>
      <c r="R91" s="1"/>
    </row>
    <row r="92" spans="1:18" x14ac:dyDescent="0.3">
      <c r="A92">
        <v>12980</v>
      </c>
      <c r="B92" t="str">
        <f t="shared" si="1"/>
        <v xml:space="preserve">713-09259 </v>
      </c>
      <c r="C92" t="s">
        <v>105</v>
      </c>
      <c r="D92" s="1"/>
      <c r="E92" s="1"/>
      <c r="F92" s="1"/>
      <c r="G92" s="1"/>
      <c r="H92" s="1"/>
      <c r="I92" s="1"/>
      <c r="J92" s="1"/>
      <c r="K92" s="1"/>
      <c r="L92" s="1">
        <v>1900</v>
      </c>
      <c r="M92" s="1"/>
      <c r="N92" s="1"/>
      <c r="O92" s="1">
        <v>1900</v>
      </c>
      <c r="P92" s="1">
        <v>1900</v>
      </c>
      <c r="Q92" s="1"/>
      <c r="R92" s="1"/>
    </row>
    <row r="93" spans="1:18" s="2" customFormat="1" x14ac:dyDescent="0.3">
      <c r="A93" s="2">
        <v>12773</v>
      </c>
      <c r="B93" s="2" t="str">
        <f t="shared" si="1"/>
        <v xml:space="preserve">713-09278 </v>
      </c>
      <c r="C93" s="2" t="s">
        <v>106</v>
      </c>
      <c r="D93" s="3"/>
      <c r="E93" s="3"/>
      <c r="F93" s="3"/>
      <c r="G93" s="3"/>
      <c r="H93" s="3"/>
      <c r="I93" s="3"/>
      <c r="J93" s="3"/>
      <c r="K93" s="3"/>
      <c r="L93" s="3"/>
      <c r="M93" s="3">
        <v>57000</v>
      </c>
      <c r="N93" s="3"/>
      <c r="O93" s="3">
        <v>57000</v>
      </c>
      <c r="P93" s="3">
        <v>57000</v>
      </c>
      <c r="Q93" s="3">
        <v>72000</v>
      </c>
      <c r="R93" s="3">
        <v>57000</v>
      </c>
    </row>
    <row r="94" spans="1:18" s="2" customFormat="1" x14ac:dyDescent="0.3">
      <c r="A94" s="2">
        <v>12774</v>
      </c>
      <c r="B94" s="2" t="str">
        <f t="shared" si="1"/>
        <v xml:space="preserve">713-09279 </v>
      </c>
      <c r="C94" s="2" t="s">
        <v>107</v>
      </c>
      <c r="D94" s="3"/>
      <c r="E94" s="3"/>
      <c r="F94" s="3"/>
      <c r="G94" s="3"/>
      <c r="H94" s="3"/>
      <c r="I94" s="3"/>
      <c r="J94" s="3"/>
      <c r="K94" s="3"/>
      <c r="L94" s="3"/>
      <c r="M94" s="3">
        <v>57760</v>
      </c>
      <c r="N94" s="3"/>
      <c r="O94" s="3">
        <v>57760</v>
      </c>
      <c r="P94" s="3">
        <v>57760</v>
      </c>
      <c r="Q94" s="3">
        <v>72000</v>
      </c>
      <c r="R94" s="3">
        <v>57000</v>
      </c>
    </row>
    <row r="95" spans="1:18" s="2" customFormat="1" x14ac:dyDescent="0.3">
      <c r="A95" s="2">
        <v>12771</v>
      </c>
      <c r="B95" s="2" t="str">
        <f t="shared" si="1"/>
        <v xml:space="preserve">713-09280 </v>
      </c>
      <c r="C95" s="2" t="s">
        <v>108</v>
      </c>
      <c r="D95" s="3"/>
      <c r="E95" s="3"/>
      <c r="F95" s="3"/>
      <c r="G95" s="3"/>
      <c r="H95" s="3"/>
      <c r="I95" s="3"/>
      <c r="J95" s="3"/>
      <c r="K95" s="3"/>
      <c r="L95" s="3"/>
      <c r="M95" s="3">
        <v>169100</v>
      </c>
      <c r="N95" s="3"/>
      <c r="O95" s="3">
        <v>169100</v>
      </c>
      <c r="P95" s="3">
        <v>169100</v>
      </c>
      <c r="Q95" s="3">
        <v>95000</v>
      </c>
      <c r="R95" s="3">
        <v>72000</v>
      </c>
    </row>
    <row r="96" spans="1:18" s="2" customFormat="1" x14ac:dyDescent="0.3">
      <c r="A96" s="2">
        <v>12772</v>
      </c>
      <c r="B96" s="2" t="str">
        <f t="shared" si="1"/>
        <v xml:space="preserve">713-09281 </v>
      </c>
      <c r="C96" s="2" t="s">
        <v>109</v>
      </c>
      <c r="D96" s="3"/>
      <c r="E96" s="3"/>
      <c r="F96" s="3"/>
      <c r="G96" s="3"/>
      <c r="H96" s="3"/>
      <c r="I96" s="3"/>
      <c r="J96" s="3"/>
      <c r="K96" s="3"/>
      <c r="L96" s="3">
        <v>380</v>
      </c>
      <c r="M96" s="3">
        <v>72200</v>
      </c>
      <c r="N96" s="3"/>
      <c r="O96" s="3">
        <v>72580</v>
      </c>
      <c r="P96" s="3">
        <v>72580</v>
      </c>
      <c r="Q96" s="3">
        <v>95000</v>
      </c>
      <c r="R96" s="3">
        <v>72000</v>
      </c>
    </row>
    <row r="97" spans="1:18" x14ac:dyDescent="0.3">
      <c r="A97">
        <v>12741</v>
      </c>
      <c r="B97" t="str">
        <f t="shared" si="1"/>
        <v xml:space="preserve">713-09362 </v>
      </c>
      <c r="C97" t="s">
        <v>110</v>
      </c>
      <c r="D97" s="1"/>
      <c r="E97" s="1"/>
      <c r="F97" s="1"/>
      <c r="G97" s="1"/>
      <c r="H97" s="1"/>
      <c r="I97" s="1"/>
      <c r="J97" s="1"/>
      <c r="K97" s="1"/>
      <c r="L97" s="1"/>
      <c r="M97" s="1">
        <v>210900</v>
      </c>
      <c r="N97" s="1"/>
      <c r="O97" s="1">
        <v>210900</v>
      </c>
      <c r="P97" s="1">
        <v>210900</v>
      </c>
      <c r="Q97" s="1"/>
      <c r="R97" s="1"/>
    </row>
    <row r="98" spans="1:18" x14ac:dyDescent="0.3">
      <c r="A98">
        <v>12781</v>
      </c>
      <c r="B98" t="str">
        <f t="shared" si="1"/>
        <v xml:space="preserve">713-09387 </v>
      </c>
      <c r="C98" t="s">
        <v>111</v>
      </c>
      <c r="D98" s="1"/>
      <c r="E98" s="1"/>
      <c r="F98" s="1"/>
      <c r="G98" s="1"/>
      <c r="H98" s="1"/>
      <c r="I98" s="1"/>
      <c r="J98" s="1"/>
      <c r="K98" s="1">
        <v>2660</v>
      </c>
      <c r="L98" s="1"/>
      <c r="M98" s="1"/>
      <c r="N98" s="1">
        <v>167580</v>
      </c>
      <c r="O98" s="1">
        <v>170240</v>
      </c>
      <c r="P98" s="1">
        <v>170240</v>
      </c>
      <c r="Q98" s="1"/>
      <c r="R98" s="1"/>
    </row>
    <row r="99" spans="1:18" x14ac:dyDescent="0.3">
      <c r="A99">
        <v>12780</v>
      </c>
      <c r="B99" t="str">
        <f t="shared" si="1"/>
        <v xml:space="preserve">713-09389 </v>
      </c>
      <c r="C99" t="s">
        <v>112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>
        <v>76380</v>
      </c>
      <c r="O99" s="1">
        <v>76380</v>
      </c>
      <c r="P99" s="1">
        <v>76380</v>
      </c>
      <c r="Q99" s="1"/>
      <c r="R99" s="1"/>
    </row>
    <row r="100" spans="1:18" x14ac:dyDescent="0.3">
      <c r="A100">
        <v>12808</v>
      </c>
      <c r="B100" t="str">
        <f t="shared" si="1"/>
        <v xml:space="preserve">713-09457 </v>
      </c>
      <c r="C100" t="s">
        <v>113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>
        <v>15200</v>
      </c>
      <c r="O100" s="1">
        <v>15200</v>
      </c>
      <c r="P100" s="1">
        <v>15200</v>
      </c>
      <c r="Q100" s="1"/>
      <c r="R100" s="1"/>
    </row>
    <row r="101" spans="1:18" s="2" customFormat="1" x14ac:dyDescent="0.3">
      <c r="A101" s="2">
        <v>12817</v>
      </c>
      <c r="B101" s="2" t="str">
        <f t="shared" si="1"/>
        <v xml:space="preserve">713-09487 </v>
      </c>
      <c r="C101" s="2" t="s">
        <v>114</v>
      </c>
      <c r="D101" s="3"/>
      <c r="E101" s="3"/>
      <c r="F101" s="3"/>
      <c r="G101" s="3"/>
      <c r="H101" s="3"/>
      <c r="I101" s="3"/>
      <c r="J101" s="3"/>
      <c r="K101" s="3"/>
      <c r="L101" s="3"/>
      <c r="M101" s="3">
        <v>98040</v>
      </c>
      <c r="N101" s="3"/>
      <c r="O101" s="3">
        <v>98040</v>
      </c>
      <c r="P101" s="3">
        <v>98040</v>
      </c>
      <c r="Q101" s="3">
        <v>380000</v>
      </c>
      <c r="R101" s="3">
        <v>285000</v>
      </c>
    </row>
    <row r="102" spans="1:18" s="2" customFormat="1" x14ac:dyDescent="0.3">
      <c r="A102" s="2">
        <v>12818</v>
      </c>
      <c r="B102" s="2" t="str">
        <f t="shared" si="1"/>
        <v xml:space="preserve">713-09488 </v>
      </c>
      <c r="C102" s="2" t="s">
        <v>115</v>
      </c>
      <c r="D102" s="3"/>
      <c r="E102" s="3"/>
      <c r="F102" s="3"/>
      <c r="G102" s="3"/>
      <c r="H102" s="3"/>
      <c r="I102" s="3"/>
      <c r="J102" s="3"/>
      <c r="K102" s="3"/>
      <c r="L102" s="3"/>
      <c r="M102" s="3">
        <v>3800</v>
      </c>
      <c r="N102" s="3"/>
      <c r="O102" s="3">
        <v>3800</v>
      </c>
      <c r="P102" s="3">
        <v>3800</v>
      </c>
      <c r="Q102" s="3">
        <v>475000</v>
      </c>
      <c r="R102" s="3">
        <v>380000</v>
      </c>
    </row>
    <row r="103" spans="1:18" x14ac:dyDescent="0.3">
      <c r="A103">
        <v>12819</v>
      </c>
      <c r="B103" t="str">
        <f t="shared" si="1"/>
        <v xml:space="preserve">713-09489 </v>
      </c>
      <c r="C103" t="s">
        <v>116</v>
      </c>
      <c r="D103" s="1"/>
      <c r="E103" s="1"/>
      <c r="F103" s="1"/>
      <c r="G103" s="1"/>
      <c r="H103" s="1"/>
      <c r="I103" s="1"/>
      <c r="J103" s="1"/>
      <c r="K103" s="1"/>
      <c r="L103" s="1">
        <v>760</v>
      </c>
      <c r="M103" s="1"/>
      <c r="N103" s="1"/>
      <c r="O103" s="1">
        <v>760</v>
      </c>
      <c r="P103" s="1">
        <v>760</v>
      </c>
      <c r="Q103" s="1"/>
      <c r="R103" s="1"/>
    </row>
    <row r="104" spans="1:18" s="2" customFormat="1" x14ac:dyDescent="0.3">
      <c r="A104" s="2">
        <v>12830</v>
      </c>
      <c r="B104" s="2" t="str">
        <f t="shared" si="1"/>
        <v xml:space="preserve">713-09535 </v>
      </c>
      <c r="C104" s="2" t="s">
        <v>117</v>
      </c>
      <c r="D104" s="3"/>
      <c r="E104" s="3"/>
      <c r="F104" s="3"/>
      <c r="G104" s="3"/>
      <c r="H104" s="3"/>
      <c r="I104" s="3"/>
      <c r="J104" s="3"/>
      <c r="K104" s="3"/>
      <c r="L104" s="3">
        <v>283480</v>
      </c>
      <c r="M104" s="3">
        <v>475760</v>
      </c>
      <c r="N104" s="3"/>
      <c r="O104" s="3">
        <v>759240</v>
      </c>
      <c r="P104" s="3">
        <v>759240</v>
      </c>
      <c r="Q104" s="3">
        <v>380000</v>
      </c>
      <c r="R104" s="3">
        <v>285000</v>
      </c>
    </row>
    <row r="105" spans="1:18" x14ac:dyDescent="0.3">
      <c r="A105">
        <v>12828</v>
      </c>
      <c r="B105" t="str">
        <f t="shared" si="1"/>
        <v xml:space="preserve">713-09538 </v>
      </c>
      <c r="C105" t="s">
        <v>118</v>
      </c>
      <c r="D105" s="1"/>
      <c r="E105" s="1"/>
      <c r="F105" s="1"/>
      <c r="G105" s="1"/>
      <c r="H105" s="1"/>
      <c r="I105" s="1"/>
      <c r="J105" s="1"/>
      <c r="K105" s="1">
        <v>1900</v>
      </c>
      <c r="L105" s="1"/>
      <c r="M105" s="1"/>
      <c r="N105" s="1"/>
      <c r="O105" s="1">
        <v>1900</v>
      </c>
      <c r="P105" s="1">
        <v>1900</v>
      </c>
      <c r="Q105" s="1"/>
      <c r="R105" s="1"/>
    </row>
    <row r="106" spans="1:18" s="2" customFormat="1" x14ac:dyDescent="0.3">
      <c r="A106" s="2">
        <v>12832</v>
      </c>
      <c r="B106" s="2" t="str">
        <f t="shared" si="1"/>
        <v xml:space="preserve">713-09552 </v>
      </c>
      <c r="C106" s="2" t="s">
        <v>119</v>
      </c>
      <c r="D106" s="3"/>
      <c r="E106" s="3"/>
      <c r="F106" s="3"/>
      <c r="G106" s="3"/>
      <c r="H106" s="3"/>
      <c r="I106" s="3"/>
      <c r="J106" s="3"/>
      <c r="K106" s="3"/>
      <c r="L106" s="3"/>
      <c r="M106" s="3">
        <v>287660</v>
      </c>
      <c r="N106" s="3"/>
      <c r="O106" s="3">
        <v>287660</v>
      </c>
      <c r="P106" s="3">
        <v>287660</v>
      </c>
      <c r="Q106" s="3">
        <v>380000</v>
      </c>
      <c r="R106" s="3">
        <v>285000</v>
      </c>
    </row>
    <row r="107" spans="1:18" s="2" customFormat="1" x14ac:dyDescent="0.3">
      <c r="A107" s="2">
        <v>12838</v>
      </c>
      <c r="B107" s="2" t="str">
        <f t="shared" si="1"/>
        <v xml:space="preserve">713-09562 </v>
      </c>
      <c r="C107" s="2" t="s">
        <v>120</v>
      </c>
      <c r="D107" s="3"/>
      <c r="E107" s="3"/>
      <c r="F107" s="3"/>
      <c r="G107" s="3"/>
      <c r="H107" s="3"/>
      <c r="I107" s="3"/>
      <c r="J107" s="3"/>
      <c r="K107" s="3"/>
      <c r="L107" s="3"/>
      <c r="M107" s="3">
        <v>902120</v>
      </c>
      <c r="N107" s="3"/>
      <c r="O107" s="3">
        <v>902120</v>
      </c>
      <c r="P107" s="3">
        <v>902120</v>
      </c>
      <c r="Q107" s="3">
        <v>1140000</v>
      </c>
      <c r="R107" s="3">
        <v>760000</v>
      </c>
    </row>
    <row r="108" spans="1:18" s="2" customFormat="1" x14ac:dyDescent="0.3">
      <c r="A108" s="2">
        <v>12979</v>
      </c>
      <c r="B108" s="2" t="str">
        <f t="shared" si="1"/>
        <v xml:space="preserve">713-09592 </v>
      </c>
      <c r="C108" s="2" t="s">
        <v>121</v>
      </c>
      <c r="D108" s="3"/>
      <c r="E108" s="3"/>
      <c r="F108" s="3"/>
      <c r="G108" s="3"/>
      <c r="H108" s="3"/>
      <c r="I108" s="3"/>
      <c r="J108" s="3"/>
      <c r="K108" s="3"/>
      <c r="L108" s="3">
        <v>1187120</v>
      </c>
      <c r="M108" s="3"/>
      <c r="N108" s="3"/>
      <c r="O108" s="3">
        <v>1187120</v>
      </c>
      <c r="P108" s="3">
        <v>1187120</v>
      </c>
      <c r="Q108" s="3">
        <v>1425000</v>
      </c>
      <c r="R108" s="3">
        <v>760000</v>
      </c>
    </row>
    <row r="109" spans="1:18" x14ac:dyDescent="0.3">
      <c r="A109">
        <v>12825</v>
      </c>
      <c r="B109" t="str">
        <f t="shared" si="1"/>
        <v xml:space="preserve">713-09735 </v>
      </c>
      <c r="C109" t="s">
        <v>122</v>
      </c>
      <c r="D109" s="1"/>
      <c r="E109" s="1"/>
      <c r="F109" s="1"/>
      <c r="G109" s="1"/>
      <c r="H109" s="1"/>
      <c r="I109" s="1"/>
      <c r="J109" s="1"/>
      <c r="K109" s="1"/>
      <c r="L109" s="1">
        <v>1520</v>
      </c>
      <c r="M109" s="1"/>
      <c r="N109" s="1"/>
      <c r="O109" s="1">
        <v>1520</v>
      </c>
      <c r="P109" s="1">
        <v>1520</v>
      </c>
      <c r="Q109" s="1"/>
      <c r="R109" s="1"/>
    </row>
    <row r="110" spans="1:18" x14ac:dyDescent="0.3">
      <c r="A110">
        <v>12859</v>
      </c>
      <c r="B110" t="str">
        <f t="shared" si="1"/>
        <v xml:space="preserve">713-09741 </v>
      </c>
      <c r="C110" t="s">
        <v>123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>
        <v>38760</v>
      </c>
      <c r="O110" s="1">
        <v>38760</v>
      </c>
      <c r="P110" s="1">
        <v>38760</v>
      </c>
      <c r="Q110" s="1"/>
      <c r="R110" s="1"/>
    </row>
    <row r="111" spans="1:18" x14ac:dyDescent="0.3">
      <c r="A111">
        <v>12837</v>
      </c>
      <c r="B111" t="str">
        <f t="shared" si="1"/>
        <v xml:space="preserve">713-09747 </v>
      </c>
      <c r="C111" t="s">
        <v>124</v>
      </c>
      <c r="D111" s="1"/>
      <c r="E111" s="1"/>
      <c r="F111" s="1"/>
      <c r="G111" s="1"/>
      <c r="H111" s="1"/>
      <c r="I111" s="1"/>
      <c r="J111" s="1"/>
      <c r="K111" s="1"/>
      <c r="L111" s="1"/>
      <c r="M111" s="1">
        <v>10260</v>
      </c>
      <c r="N111" s="1"/>
      <c r="O111" s="1">
        <v>10260</v>
      </c>
      <c r="P111" s="1">
        <v>10260</v>
      </c>
      <c r="Q111" s="1"/>
      <c r="R111" s="1"/>
    </row>
    <row r="112" spans="1:18" x14ac:dyDescent="0.3">
      <c r="C112" t="s">
        <v>6</v>
      </c>
      <c r="D112" s="1">
        <v>29260</v>
      </c>
      <c r="E112" s="1">
        <v>13680</v>
      </c>
      <c r="F112" s="1">
        <v>42940</v>
      </c>
      <c r="G112" s="1">
        <v>1140</v>
      </c>
      <c r="H112" s="1">
        <v>20900</v>
      </c>
      <c r="I112" s="1">
        <v>117800</v>
      </c>
      <c r="J112" s="1">
        <v>3800</v>
      </c>
      <c r="K112" s="1">
        <v>323760</v>
      </c>
      <c r="L112" s="1">
        <v>1991200</v>
      </c>
      <c r="M112" s="1">
        <v>6197040</v>
      </c>
      <c r="N112" s="1">
        <v>1163940</v>
      </c>
      <c r="O112" s="1">
        <v>9819580</v>
      </c>
      <c r="P112" s="1">
        <v>9862520</v>
      </c>
    </row>
    <row r="114" spans="1:18" s="2" customFormat="1" x14ac:dyDescent="0.3">
      <c r="A114" s="2">
        <v>12356</v>
      </c>
      <c r="B114" s="2" t="s">
        <v>127</v>
      </c>
      <c r="C114" s="2" t="s">
        <v>133</v>
      </c>
      <c r="Q114" s="3">
        <v>475000</v>
      </c>
      <c r="R114" s="3">
        <v>380000</v>
      </c>
    </row>
    <row r="115" spans="1:18" s="2" customFormat="1" x14ac:dyDescent="0.3">
      <c r="A115" s="2">
        <v>12872</v>
      </c>
      <c r="B115" s="2" t="s">
        <v>130</v>
      </c>
      <c r="C115" s="2" t="s">
        <v>129</v>
      </c>
      <c r="Q115" s="3">
        <v>475000</v>
      </c>
      <c r="R115" s="3">
        <v>285000</v>
      </c>
    </row>
    <row r="116" spans="1:18" s="2" customFormat="1" x14ac:dyDescent="0.3">
      <c r="A116" s="2">
        <v>12871</v>
      </c>
      <c r="B116" s="2" t="s">
        <v>130</v>
      </c>
      <c r="C116" s="2" t="s">
        <v>128</v>
      </c>
      <c r="Q116" s="3">
        <v>190000</v>
      </c>
      <c r="R116" s="3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O'Neil</dc:creator>
  <cp:lastModifiedBy>Bala Pradeep Konda</cp:lastModifiedBy>
  <dcterms:created xsi:type="dcterms:W3CDTF">2026-08-03T15:02:17Z</dcterms:created>
  <dcterms:modified xsi:type="dcterms:W3CDTF">2026-08-07T13:56:39Z</dcterms:modified>
</cp:coreProperties>
</file>