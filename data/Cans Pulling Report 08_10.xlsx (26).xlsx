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DC2E6768-235E-499D-9B3F-6799FDA4166E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9" i="1" l="1"/>
  <c r="I1170" i="1"/>
  <c r="I1179" i="1"/>
  <c r="I1180" i="1"/>
  <c r="I1183" i="1"/>
  <c r="I1184" i="1"/>
  <c r="I1185" i="1"/>
  <c r="I1186" i="1"/>
  <c r="I1187" i="1"/>
  <c r="I1193" i="1"/>
  <c r="I1194" i="1"/>
  <c r="I1207" i="1"/>
  <c r="I1208" i="1"/>
  <c r="I1209" i="1"/>
  <c r="I1210" i="1"/>
  <c r="I1211" i="1"/>
  <c r="I1212" i="1"/>
  <c r="I1213" i="1"/>
  <c r="I1214" i="1"/>
  <c r="I1215" i="1"/>
  <c r="I1216" i="1"/>
  <c r="I1274" i="1"/>
  <c r="I1275" i="1"/>
  <c r="I1272" i="1"/>
  <c r="I1273" i="1"/>
  <c r="I1276" i="1"/>
  <c r="I1277" i="1"/>
  <c r="I1278" i="1"/>
  <c r="I1319" i="1"/>
  <c r="I23" i="1"/>
  <c r="I1360" i="1"/>
  <c r="I1359" i="1"/>
  <c r="I1444" i="1"/>
  <c r="I1445" i="1"/>
  <c r="I1446" i="1"/>
  <c r="I1447" i="1"/>
  <c r="I1448" i="1"/>
  <c r="I1449" i="1"/>
  <c r="I1545" i="1"/>
  <c r="I1549" i="1"/>
  <c r="I1593" i="1"/>
  <c r="I1594" i="1"/>
  <c r="I1595" i="1"/>
  <c r="I1596" i="1"/>
  <c r="I1751" i="1" l="1"/>
  <c r="I495" i="1" l="1"/>
  <c r="I1732" i="1"/>
  <c r="I1590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6" i="1" l="1"/>
  <c r="I1745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F1285" i="1"/>
  <c r="I1459" i="1"/>
  <c r="I1405" i="1"/>
  <c r="I1385" i="1"/>
  <c r="I1384" i="1"/>
  <c r="I1421" i="1"/>
  <c r="I1415" i="1"/>
  <c r="I1312" i="1"/>
  <c r="I1302" i="1"/>
  <c r="I1540" i="1"/>
  <c r="I1541" i="1"/>
  <c r="I1542" i="1"/>
  <c r="I1543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7" i="1"/>
  <c r="I1726" i="1"/>
  <c r="I1722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71" i="1"/>
  <c r="I1172" i="1"/>
  <c r="I1173" i="1"/>
  <c r="I1174" i="1"/>
  <c r="I1175" i="1"/>
  <c r="I1176" i="1"/>
  <c r="I1177" i="1"/>
  <c r="I1178" i="1"/>
  <c r="I1181" i="1"/>
  <c r="I1182" i="1"/>
  <c r="I1188" i="1"/>
  <c r="I1189" i="1"/>
  <c r="I1190" i="1"/>
  <c r="I1191" i="1"/>
  <c r="I1192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9" i="1"/>
  <c r="I1280" i="1"/>
  <c r="I1281" i="1"/>
  <c r="I1282" i="1"/>
  <c r="I1283" i="1"/>
  <c r="I1284" i="1"/>
  <c r="I1285" i="1"/>
  <c r="I1286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3" i="1"/>
  <c r="I1304" i="1"/>
  <c r="I1305" i="1"/>
  <c r="I1306" i="1"/>
  <c r="I1307" i="1"/>
  <c r="I1308" i="1"/>
  <c r="I1309" i="1"/>
  <c r="I1310" i="1"/>
  <c r="I1311" i="1"/>
  <c r="I1313" i="1"/>
  <c r="I1314" i="1"/>
  <c r="I1315" i="1"/>
  <c r="I1316" i="1"/>
  <c r="I1318" i="1"/>
  <c r="I1320" i="1"/>
  <c r="I1321" i="1"/>
  <c r="I1322" i="1"/>
  <c r="I1323" i="1"/>
  <c r="I1324" i="1"/>
  <c r="I1325" i="1"/>
  <c r="I1327" i="1"/>
  <c r="I1328" i="1"/>
  <c r="I1329" i="1"/>
  <c r="I1330" i="1"/>
  <c r="I1331" i="1"/>
  <c r="I1332" i="1"/>
  <c r="I1333" i="1"/>
  <c r="I1334" i="1"/>
  <c r="I1335" i="1"/>
  <c r="I1336" i="1"/>
  <c r="I1339" i="1"/>
  <c r="I1340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6" i="1"/>
  <c r="I1407" i="1"/>
  <c r="I1408" i="1"/>
  <c r="I1409" i="1"/>
  <c r="I1410" i="1"/>
  <c r="I1411" i="1"/>
  <c r="I1412" i="1"/>
  <c r="I1413" i="1"/>
  <c r="I1414" i="1"/>
  <c r="I1416" i="1"/>
  <c r="I1417" i="1"/>
  <c r="I1418" i="1"/>
  <c r="I1419" i="1"/>
  <c r="I1420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50" i="1"/>
  <c r="I1451" i="1"/>
  <c r="I1452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4" i="1"/>
  <c r="I1546" i="1"/>
  <c r="I1547" i="1"/>
  <c r="I1548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80" i="1"/>
  <c r="I1581" i="1"/>
  <c r="I1582" i="1"/>
  <c r="I1583" i="1"/>
  <c r="I1584" i="1"/>
  <c r="I1585" i="1"/>
  <c r="I1586" i="1"/>
  <c r="I1587" i="1"/>
  <c r="I1588" i="1"/>
  <c r="I1589" i="1"/>
  <c r="I1591" i="1"/>
  <c r="I1592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3" i="1"/>
  <c r="I1724" i="1"/>
  <c r="I1725" i="1"/>
  <c r="I1728" i="1"/>
  <c r="I1729" i="1"/>
  <c r="I1730" i="1"/>
  <c r="I1731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7" i="1"/>
  <c r="I1748" i="1"/>
  <c r="I1749" i="1"/>
  <c r="I17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5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<sst xmlns="http://schemas.openxmlformats.org/spreadsheetml/2006/main" count="10906" uniqueCount="1265">
  <si>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</si>
  <si>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</si>
  <si>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</si>
  <si>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</si>
  <si>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</si>
  <si>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</si>
  <si>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</si>
  <si>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</si>
  <si>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</si>
  <si>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</si>
  <si>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</si>
  <si>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</si>
  <si>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</si>
  <si>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</si>
  <si>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</si>
  <si>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</si>
  <si>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</si>
  <si>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</si>
  <si>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</si>
  <si>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</si>
  <si>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</si>
  <si>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</si>
  <si>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</si>
  <si>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</si>
  <si>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</si>
  <si>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</si>
  <si>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</si>
  <si>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</si>
  <si>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</si>
  <si>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</si>
  <si>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</si>
  <si>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</si>
  <si>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</si>
  <si>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</si>
  <si>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</si>
  <si>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</si>
  <si>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</si>
  <si>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</si>
  <si>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</si>
  <si>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</si>
  <si>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</si>
  <si>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</si>
  <si>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</si>
  <si>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</si>
  <si>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</si>
  <si>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</si>
  <si>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</si>
  <si>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</si>
  <si>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</si>
  <si>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</si>
  <si>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</si>
  <si>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</si>
  <si>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</si>
  <si>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</si>
  <si>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</si>
  <si>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</si>
  <si>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</si>
  <si>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</si>
  <si>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</si>
  <si>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</si>
  <si>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</si>
  <si>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</si>
  <si>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</si>
  <si>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</si>
  <si>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</si>
  <si>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</si>
  <si>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</si>
  <si>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</si>
  <si>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</si>
  <si>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</si>
  <si>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</si>
  <si>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</si>
  <si>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</si>
  <si>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</si>
  <si>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</si>
  <si>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</si>
  <si>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</si>
  <si>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</si>
  <si>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</si>
  <si>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</si>
  <si>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</si>
  <si>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</si>
  <si>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</si>
  <si>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</si>
  <si>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</si>
  <si>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</si>
  <si>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</si>
  <si>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</si>
  <si>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</si>
  <si>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</si>
  <si>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</si>
  <si>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</si>
  <si>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</si>
  <si>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</si>
  <si>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</si>
  <si>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</si>
  <si>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</si>
  <si>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</si>
  <si>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</si>
  <si>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</si>
  <si>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</si>
  <si>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</si>
  <si>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</si>
  <si>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</si>
  <si>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</si>
  <si>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</si>
  <si>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</si>
  <si>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</si>
  <si>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</si>
  <si>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</si>
  <si>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</si>
  <si>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</si>
  <si>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</si>
  <si>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</si>
  <si>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</si>
  <si>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</si>
  <si>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</si>
  <si>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</si>
  <si>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</si>
  <si>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</si>
  <si>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</si>
  <si>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</si>
  <si>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</si>
  <si>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</si>
  <si>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</si>
  <si>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</si>
  <si>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</si>
  <si>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</si>
  <si>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</si>
  <si>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</si>
  <si>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</si>
  <si>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</si>
  <si>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</si>
  <si>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</si>
  <si>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</si>
  <si>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</si>
  <si>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</si>
  <si>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</si>
  <si>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</si>
  <si>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</si>
  <si>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</si>
  <si>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</si>
  <si>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</si>
  <si>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</si>
  <si>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</si>
  <si>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</si>
  <si>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</si>
  <si>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</si>
  <si>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</si>
  <si>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</si>
  <si>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</si>
  <si>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</si>
  <si>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</si>
  <si>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</si>
  <si>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</si>
  <si>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</si>
  <si>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</si>
  <si>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</si>
  <si>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</si>
  <si>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</si>
  <si>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</si>
  <si>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</si>
  <si>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</si>
  <si>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</si>
  <si>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</si>
  <si>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</si>
  <si>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</si>
  <si>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</si>
  <si>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</si>
  <si>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</si>
  <si>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</si>
  <si>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</si>
  <si>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</si>
  <si>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</si>
  <si>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</si>
  <si>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</si>
  <si>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</si>
  <si>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</si>
  <si>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</si>
  <si>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</si>
  <si>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</si>
  <si>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</si>
  <si>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</si>
  <si>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</si>
  <si>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</si>
  <si>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</si>
  <si>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</si>
  <si>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</si>
  <si>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</si>
  <si>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</si>
  <si>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</si>
  <si>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</si>
  <si>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</si>
  <si>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</si>
  <si>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</si>
  <si>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</si>
  <si>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</si>
  <si>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</si>
  <si>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</si>
  <si>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</si>
  <si>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</si>
  <si>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</si>
  <si>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</si>
  <si>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</si>
  <si>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</si>
  <si>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</si>
  <si>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</si>
  <si>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</si>
  <si>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</si>
  <si>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</si>
  <si>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</si>
  <si>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</si>
  <si>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</si>
  <si>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</si>
  <si>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</si>
  <si>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</si>
  <si>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</si>
  <si>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</si>
  <si>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</si>
  <si>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</si>
  <si>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</si>
  <si>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</si>
  <si>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</si>
  <si>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</si>
  <si>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</si>
  <si>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</si>
  <si>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</si>
  <si>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</si>
  <si>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</si>
  <si>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</si>
  <si>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</si>
  <si>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</si>
  <si>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</si>
  <si>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</si>
  <si>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</si>
  <si>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</si>
  <si>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</si>
  <si>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</si>
  <si>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</si>
  <si>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</si>
  <si>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</si>
  <si>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</si>
  <si>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</si>
  <si>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</si>
  <si>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</si>
  <si>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</si>
  <si>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</si>
  <si>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</si>
  <si>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</si>
  <si>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</si>
  <si>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</si>
  <si>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</si>
  <si>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</si>
  <si>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</si>
  <si>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</si>
  <si>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</si>
  <si>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</si>
  <si>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</si>
  <si>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</si>
  <si>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</si>
  <si>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</si>
  <si>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</si>
  <si>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</si>
  <si>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</si>
  <si>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</si>
  <si>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</si>
  <si>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</si>
  <si>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</si>
  <si>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</si>
  <si>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</si>
  <si>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</si>
  <si>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</si>
  <si>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</si>
  <si>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</si>
  <si>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</si>
  <si>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</si>
  <si>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</si>
  <si>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</si>
  <si>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</si>
  <si>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</si>
  <si>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</si>
  <si>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</si>
  <si>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</si>
  <si>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</si>
  <si>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</si>
  <si>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</si>
  <si>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</si>
  <si>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</si>
  <si>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</si>
  <si>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</si>
  <si>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</si>
  <si>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</si>
  <si>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</si>
  <si>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</si>
  <si>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</si>
  <si>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</si>
  <si>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</si>
  <si>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</si>
  <si>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</si>
  <si>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</si>
  <si>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</si>
  <si>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</si>
  <si>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</si>
  <si>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</si>
  <si>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</si>
  <si>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</si>
  <si>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</si>
  <si>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</si>
  <si>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</si>
  <si>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</si>
  <si>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</si>
  <si>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</si>
  <si>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</si>
  <si>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</si>
  <si>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</si>
  <si>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</si>
  <si>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</si>
  <si>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</si>
  <si>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</si>
  <si>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</si>
  <si>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</si>
  <si>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</si>
  <si>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</si>
  <si>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</si>
  <si>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</si>
  <si>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</si>
  <si>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</si>
  <si>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</si>
  <si>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</si>
  <si>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</si>
  <si>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</si>
  <si>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</si>
  <si>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</si>
  <si>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</si>
  <si>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</si>
  <si>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</si>
  <si>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</si>
  <si>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</si>
  <si>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</si>
  <si>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</si>
  <si>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</si>
  <si>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</si>
  <si>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</si>
  <si>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</si>
  <si>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</si>
  <si>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</si>
  <si>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</si>
  <si>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</si>
  <si>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</si>
  <si>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</si>
  <si>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</si>
  <si>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</si>
  <si>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</si>
  <si>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</si>
  <si>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</si>
  <si>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</si>
  <si>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</si>
  <si>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</si>
  <si>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</si>
  <si>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</si>
  <si>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</si>
  <si>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</si>
  <si>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</si>
  <si>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</si>
  <si>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</si>
  <si>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</si>
  <si>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</si>
  <si>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</si>
  <si>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</si>
  <si>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</si>
  <si>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</si>
  <si>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</si>
  <si>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</si>
  <si>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</si>
  <si>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</si>
  <si>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</si>
  <si>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</si>
  <si>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</si>
  <si>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</si>
  <si>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</si>
  <si>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</si>
  <si>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</si>
  <si>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</si>
  <si>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</si>
  <si>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</si>
  <si>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</si>
  <si>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</si>
  <si>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</si>
  <si>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</si>
  <si>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</si>
  <si>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</si>
  <si>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</si>
  <si>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</si>
  <si>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</si>
  <si>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</si>
  <si>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</si>
  <si>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</si>
  <si>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</si>
  <si>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</si>
  <si>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</si>
  <si>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</si>
  <si>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</si>
  <si>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</si>
  <si>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</si>
  <si>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</si>
  <si>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</si>
  <si>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</si>
  <si>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</si>
  <si>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</si>
  <si>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</si>
  <si>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</si>
  <si>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</si>
  <si>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</si>
  <si>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</si>
  <si>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</si>
  <si>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</si>
  <si>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</si>
  <si>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</si>
  <si>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</si>
  <si>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</si>
  <si>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</si>
  <si>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</si>
  <si>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</si>
  <si>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</si>
  <si>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</si>
  <si>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</si>
  <si>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</si>
  <si>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</si>
  <si>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</si>
  <si>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</si>
  <si>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</si>
  <si>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</si>
  <si>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</si>
  <si>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</si>
  <si>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</si>
  <si>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</si>
  <si>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</si>
  <si>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</si>
  <si>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</si>
  <si>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</si>
  <si>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</si>
  <si>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</si>
  <si>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</si>
  <si>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</si>
  <si>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</si>
  <si>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</si>
  <si>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</si>
  <si>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</si>
  <si>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</si>
  <si>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</si>
  <si>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</si>
  <si>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</si>
  <si>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</si>
  <si>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</si>
  <si>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</si>
  <si>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</si>
  <si>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</si>
  <si>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</si>
  <si>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</si>
  <si>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</si>
  <si>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</si>
  <si>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</si>
  <si>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</si>
  <si>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</si>
  <si>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</si>
  <si>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</si>
  <si>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</si>
  <si>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</si>
  <si>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</si>
  <si>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</si>
  <si>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</si>
  <si>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</si>
  <si>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</si>
  <si>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</si>
  <si>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</si>
  <si>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</si>
  <si>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</si>
  <si>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</si>
  <si>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</si>
  <si>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</si>
  <si>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</si>
  <si>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</si>
  <si>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</si>
  <si>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</si>
  <si>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</si>
  <si>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</si>
  <si>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</si>
  <si>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</si>
  <si>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</si>
  <si>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</si>
  <si>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</si>
  <si>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</si>
  <si>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</si>
  <si>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</si>
  <si>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</si>
  <si>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</si>
  <si>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</si>
  <si>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</si>
  <si>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</si>
  <si>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</si>
  <si>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</si>
  <si>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</si>
  <si>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</si>
  <si>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</si>
  <si>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</si>
  <si>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</si>
  <si>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</si>
  <si>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</si>
  <si>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</si>
  <si>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</si>
  <si>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</si>
  <si>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</si>
  <si>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</si>
  <si>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</si>
  <si>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</si>
  <si>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</si>
  <si>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</si>
  <si>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</si>
  <si>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</si>
  <si>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</si>
  <si>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</si>
  <si>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</si>
  <si>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</si>
  <si>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</si>
  <si>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</si>
  <si>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</si>
  <si>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</si>
  <si>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</si>
  <si>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</si>
  <si>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</si>
  <si>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</si>
  <si>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</si>
  <si>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</si>
  <si>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</si>
  <si>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</si>
  <si>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</si>
  <si>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</si>
  <si>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</si>
  <si>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</si>
  <si>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</si>
  <si>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</si>
  <si>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</si>
  <si>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</si>
  <si>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</si>
  <si>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</si>
  <si>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</si>
  <si>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</si>
  <si>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</si>
  <si>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</si>
  <si>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</si>
  <si>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</si>
  <si>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</si>
  <si>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</si>
  <si>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</si>
  <si>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</si>
  <si>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</si>
  <si>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</si>
  <si>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</si>
  <si>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</si>
  <si>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</si>
  <si>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</si>
  <si>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</si>
  <si>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</si>
  <si>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</si>
  <si>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</si>
  <si>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</si>
  <si>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</si>
  <si>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</si>
  <si>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</si>
  <si>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</si>
  <si>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</si>
  <si>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</si>
  <si>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</si>
  <si>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</si>
  <si>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</si>
  <si>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</si>
  <si>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</si>
  <si>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</si>
  <si>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</si>
  <si>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</si>
  <si>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</si>
  <si>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</si>
  <si>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</si>
  <si>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</si>
  <si>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</si>
  <si>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</si>
  <si>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</si>
  <si>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</si>
  <si>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</si>
  <si>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</si>
  <si>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</si>
  <si>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</si>
  <si>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</si>
  <si>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</si>
  <si>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</si>
  <si>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</si>
  <si>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</si>
  <si>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</si>
  <si>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</si>
  <si>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</si>
  <si>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</si>
  <si>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</si>
  <si>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</si>
  <si>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</si>
  <si>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</si>
  <si>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</si>
  <si>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</si>
  <si>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</si>
  <si>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</si>
  <si>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</si>
  <si>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</si>
  <si>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</si>
  <si>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</si>
  <si>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</si>
  <si>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</si>
  <si>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</si>
  <si>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</si>
  <si>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</si>
  <si>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</si>
  <si>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</si>
  <si>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</si>
  <si>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</si>
  <si>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</si>
  <si>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</si>
  <si>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</si>
  <si>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</si>
  <si>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</si>
  <si>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</si>
  <si>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</si>
  <si>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</si>
  <si>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</si>
  <si>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</si>
  <si>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</si>
  <si>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</si>
  <si>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</si>
  <si>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</si>
  <si>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</si>
  <si>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</si>
  <si>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</si>
  <si>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</si>
  <si>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</si>
  <si>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</si>
  <si>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</si>
  <si>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</si>
  <si>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</si>
  <si>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</si>
  <si>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</si>
  <si>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</si>
  <si>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</si>
  <si>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</si>
  <si>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</si>
  <si>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</si>
  <si>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</si>
  <si>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</si>
  <si>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</si>
  <si>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</si>
  <si>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</si>
  <si>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</si>
  <si>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</si>
  <si>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</si>
  <si>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</si>
  <si>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</si>
  <si>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</si>
  <si>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</si>
  <si>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</si>
  <si>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</si>
  <si>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</si>
  <si>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</si>
  <si>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</si>
  <si>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</si>
  <si>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</si>
  <si>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</si>
  <si>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</si>
  <si>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</si>
  <si>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</si>
  <si>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</si>
  <si>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</si>
  <si>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</si>
  <si>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</si>
  <si>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</si>
  <si>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</si>
  <si>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</si>
  <si>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</si>
  <si>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</si>
  <si>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</si>
  <si>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</si>
  <si>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</si>
  <si>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</si>
  <si>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</si>
  <si>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</si>
  <si>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</si>
  <si>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</si>
  <si>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</si>
  <si>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</si>
  <si>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</si>
  <si>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</si>
  <si>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</si>
  <si>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</si>
  <si>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</si>
  <si>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</si>
  <si>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</si>
  <si>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</si>
  <si>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</si>
  <si>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</si>
  <si>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</si>
  <si>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</si>
  <si>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</si>
  <si>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</si>
  <si>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</si>
  <si>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</si>
  <si>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</si>
  <si>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</si>
  <si>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</si>
  <si>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</si>
  <si>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</si>
  <si>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</si>
  <si>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</si>
  <si>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</si>
  <si>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</si>
  <si>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</si>
  <si>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</si>
  <si>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</si>
  <si>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</si>
  <si>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</si>
  <si>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</si>
  <si>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</si>
  <si>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</si>
  <si>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</si>
  <si>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</si>
  <si>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</si>
  <si>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</si>
  <si>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</si>
  <si>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</si>
  <si>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</si>
  <si>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</si>
  <si>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</si>
  <si>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</si>
  <si>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</si>
  <si>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</si>
  <si>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</si>
  <si>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</si>
  <si>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</si>
  <si>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</si>
  <si>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</si>
  <si>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</si>
  <si>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</si>
  <si>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</si>
  <si>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</si>
  <si>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</si>
  <si>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</si>
  <si>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</si>
  <si>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</si>
  <si>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</si>
  <si>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</si>
  <si>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</si>
  <si>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</si>
  <si>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</si>
  <si>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</si>
  <si>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</si>
  <si>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</si>
  <si>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</si>
  <si>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</si>
  <si>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</si>
  <si>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</si>
  <si>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</si>
  <si>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</si>
  <si>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</si>
  <si>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</si>
  <si>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</si>
  <si>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</si>
  <si>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</si>
  <si>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</si>
  <si>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</si>
  <si>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</si>
  <si>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</si>
  <si>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</si>
  <si>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</si>
  <si>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</si>
  <si>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</si>
  <si>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</si>
  <si>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</si>
  <si>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</si>
  <si>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</si>
  <si>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</si>
  <si>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</si>
  <si>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</si>
  <si>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</si>
  <si>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</si>
  <si>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</si>
  <si>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</si>
  <si>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</si>
  <si>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</si>
  <si>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</si>
  <si>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</si>
  <si>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</si>
  <si>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</si>
  <si>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</si>
  <si>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</si>
  <si>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</si>
  <si>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</si>
  <si>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</si>
  <si>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</si>
  <si>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</si>
  <si>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</si>
  <si>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</si>
  <si>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</si>
  <si>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</si>
  <si>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</si>
  <si>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</si>
  <si>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</si>
  <si>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</si>
  <si>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</si>
  <si>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</si>
  <si>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</si>
  <si>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</si>
  <si>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</si>
  <si>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</si>
  <si>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</si>
  <si>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</si>
  <si>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</si>
  <si>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</si>
  <si>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</si>
  <si>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</si>
  <si>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</si>
  <si>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</si>
  <si>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</si>
  <si>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</si>
  <si>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</si>
  <si>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</si>
  <si>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</si>
  <si>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</si>
  <si>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</si>
  <si>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</si>
  <si>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</si>
  <si>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</si>
  <si>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</si>
  <si>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</si>
  <si>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</si>
  <si>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</si>
  <si>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</si>
  <si>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</si>
  <si>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</si>
  <si>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</si>
  <si>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</si>
  <si>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</si>
  <si>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</si>
  <si>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</si>
  <si>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</si>
  <si>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</si>
  <si>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</si>
  <si>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</si>
  <si>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</si>
  <si>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</si>
  <si>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</si>
  <si>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</si>
  <si>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</si>
  <si>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</si>
  <si>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</si>
  <si>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</si>
  <si>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</si>
  <si>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</si>
  <si>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</si>
  <si>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</si>
  <si>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</si>
  <si>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</si>
  <si>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</si>
  <si>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</si>
  <si>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</si>
  <si>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</si>
  <si>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</si>
  <si>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</si>
  <si>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</si>
  <si>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</si>
  <si>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</si>
  <si>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</si>
  <si>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</si>
  <si>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</si>
  <si>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</si>
  <si>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</si>
  <si>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</si>
  <si>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</si>
  <si>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</si>
  <si>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</si>
  <si>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</si>
  <si>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</si>
  <si>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</si>
  <si>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</si>
  <si>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</si>
  <si>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</si>
  <si>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</si>
  <si>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</si>
  <si>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</si>
  <si>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</si>
  <si>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</si>
  <si>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</si>
  <si>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</si>
  <si>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</si>
  <si>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</si>
  <si>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</si>
  <si>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</si>
  <si>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</si>
  <si>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</si>
  <si>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</si>
  <si>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</si>
  <si>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</si>
  <si>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</si>
  <si>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</si>
  <si>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</si>
  <si>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</si>
  <si>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</si>
  <si>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</si>
  <si>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</si>
  <si>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</si>
  <si>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</si>
  <si>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</si>
  <si>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</si>
  <si>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</si>
  <si>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</si>
  <si>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</si>
  <si>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</si>
  <si>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</si>
  <si>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</si>
  <si>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</si>
  <si>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</si>
  <si>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</si>
  <si>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PK-A-CAN CHESTNUT HILL 6.5OZ O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</si>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</sst>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29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5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AC1755"/>
  <sheetViews>
    <sheetView tabSelected="1" workbookViewId="0"/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>
        <v>0</v>
      </c>
      <c r="I1167" s="6">
        <f t="shared" si="17"/>
        <v>-380</v>
      </c>
      <c r="J1167" s="9"/>
      <c r="K1167" s="11"/>
      <c r="L1167" s="11"/>
      <c r="M1167" s="44" t="s">
        <v>20</v>
      </c>
      <c r="N1167" s="3">
        <v>46274</v>
      </c>
    </row>
    <row r="1168" spans="1:14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>
        <v>0</v>
      </c>
      <c r="I1168" s="6">
        <f t="shared" si="17"/>
        <v>-1520</v>
      </c>
      <c r="J1168" s="9"/>
      <c r="K1168" s="11"/>
      <c r="L1168" s="11"/>
      <c r="M1168" s="44" t="s">
        <v>20</v>
      </c>
      <c r="N1168" s="3">
        <v>46274</v>
      </c>
    </row>
    <row r="1169" spans="1:14">
      <c r="A1169" s="4">
        <v>12604</v>
      </c>
      <c r="B1169" s="4" t="s">
        <v>925</v>
      </c>
      <c r="C1169" s="4" t="s">
        <v>16</v>
      </c>
      <c r="D1169" s="4">
        <v>9022025</v>
      </c>
      <c r="E1169" s="3"/>
      <c r="F1169" s="5">
        <v>380</v>
      </c>
      <c r="G1169" s="5"/>
      <c r="H1169" s="61">
        <v>0</v>
      </c>
      <c r="I1169" s="6">
        <f t="shared" si="17"/>
        <v>-380</v>
      </c>
      <c r="J1169" s="9"/>
      <c r="K1169" s="11"/>
      <c r="L1169" s="11"/>
      <c r="M1169" s="44" t="s">
        <v>20</v>
      </c>
      <c r="N1169" s="3">
        <v>46274</v>
      </c>
    </row>
    <row r="1170" spans="1:14">
      <c r="A1170" s="4" t="s">
        <v>926</v>
      </c>
      <c r="B1170" s="4" t="s">
        <v>927</v>
      </c>
      <c r="C1170" s="4" t="s">
        <v>16</v>
      </c>
      <c r="D1170" s="4" t="s">
        <v>729</v>
      </c>
      <c r="E1170" s="3">
        <v>45848</v>
      </c>
      <c r="F1170" s="5">
        <v>61940</v>
      </c>
      <c r="G1170" s="5">
        <v>61940</v>
      </c>
      <c r="H1170" s="61">
        <v>47500</v>
      </c>
      <c r="I1170" s="6">
        <f t="shared" si="17"/>
        <v>-14440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3">
        <v>46254</v>
      </c>
    </row>
    <row r="1171" spans="1:14">
      <c r="A1171" s="4" t="s">
        <v>926</v>
      </c>
      <c r="B1171" s="4" t="s">
        <v>927</v>
      </c>
      <c r="C1171" s="4" t="s">
        <v>16</v>
      </c>
      <c r="D1171" s="4" t="s">
        <v>714</v>
      </c>
      <c r="E1171" s="3">
        <v>46010</v>
      </c>
      <c r="F1171" s="5">
        <v>1900</v>
      </c>
      <c r="G1171" s="5">
        <v>1900</v>
      </c>
      <c r="H1171" s="61">
        <v>0</v>
      </c>
      <c r="I1171" s="6">
        <f t="shared" si="17"/>
        <v>-1900</v>
      </c>
      <c r="J1171" s="9">
        <v>46253</v>
      </c>
      <c r="K1171" s="11" t="s">
        <v>547</v>
      </c>
      <c r="L1171" s="11" t="s">
        <v>254</v>
      </c>
      <c r="M1171" s="44" t="s">
        <v>20</v>
      </c>
      <c r="N1171" s="3">
        <v>46254</v>
      </c>
    </row>
    <row r="1172" spans="1:14">
      <c r="A1172" s="4" t="s">
        <v>928</v>
      </c>
      <c r="B1172" s="4" t="s">
        <v>929</v>
      </c>
      <c r="C1172" s="4" t="s">
        <v>16</v>
      </c>
      <c r="D1172" s="4" t="s">
        <v>667</v>
      </c>
      <c r="E1172" s="3">
        <v>45860</v>
      </c>
      <c r="F1172" s="5">
        <v>24700</v>
      </c>
      <c r="G1172" s="5">
        <v>24700</v>
      </c>
      <c r="H1172" s="61">
        <v>24700</v>
      </c>
      <c r="I1172" s="6">
        <f t="shared" si="17"/>
        <v>0</v>
      </c>
      <c r="J1172" s="9">
        <v>46254</v>
      </c>
      <c r="K1172" s="31" t="s">
        <v>930</v>
      </c>
      <c r="L1172" s="31" t="s">
        <v>109</v>
      </c>
      <c r="M1172" s="44" t="s">
        <v>20</v>
      </c>
      <c r="N1172" s="4"/>
    </row>
    <row r="1173" spans="1:14">
      <c r="A1173" s="4" t="s">
        <v>928</v>
      </c>
      <c r="B1173" s="4" t="s">
        <v>929</v>
      </c>
      <c r="C1173" s="4" t="s">
        <v>16</v>
      </c>
      <c r="D1173" s="4" t="s">
        <v>931</v>
      </c>
      <c r="E1173" s="3">
        <v>45860</v>
      </c>
      <c r="F1173" s="5">
        <v>23180</v>
      </c>
      <c r="G1173" s="5">
        <v>23180</v>
      </c>
      <c r="H1173" s="61">
        <v>23180</v>
      </c>
      <c r="I1173" s="6">
        <f t="shared" si="17"/>
        <v>0</v>
      </c>
      <c r="J1173" s="9">
        <v>46254</v>
      </c>
      <c r="K1173" s="31" t="s">
        <v>930</v>
      </c>
      <c r="L1173" s="31" t="s">
        <v>109</v>
      </c>
      <c r="M1173" s="44" t="s">
        <v>20</v>
      </c>
      <c r="N1173" s="4"/>
    </row>
    <row r="1174" spans="1:14">
      <c r="A1174" s="4" t="s">
        <v>928</v>
      </c>
      <c r="B1174" s="4" t="s">
        <v>929</v>
      </c>
      <c r="C1174" s="4" t="s">
        <v>16</v>
      </c>
      <c r="D1174" s="4" t="s">
        <v>932</v>
      </c>
      <c r="E1174" s="3">
        <v>46010</v>
      </c>
      <c r="F1174" s="5">
        <v>380</v>
      </c>
      <c r="G1174" s="5">
        <v>380</v>
      </c>
      <c r="H1174" s="61">
        <v>380</v>
      </c>
      <c r="I1174" s="6">
        <f t="shared" si="17"/>
        <v>0</v>
      </c>
      <c r="J1174" s="9">
        <v>46254</v>
      </c>
      <c r="K1174" s="31" t="s">
        <v>930</v>
      </c>
      <c r="L1174" s="31" t="s">
        <v>109</v>
      </c>
      <c r="M1174" s="44" t="s">
        <v>20</v>
      </c>
      <c r="N1174" s="4"/>
    </row>
    <row r="1175" spans="1:14">
      <c r="A1175" s="4" t="s">
        <v>928</v>
      </c>
      <c r="B1175" s="4" t="s">
        <v>929</v>
      </c>
      <c r="C1175" s="4" t="s">
        <v>16</v>
      </c>
      <c r="D1175" s="4" t="s">
        <v>714</v>
      </c>
      <c r="E1175" s="3">
        <v>46010</v>
      </c>
      <c r="F1175" s="5">
        <v>6080</v>
      </c>
      <c r="G1175" s="5">
        <v>6080</v>
      </c>
      <c r="H1175" s="61">
        <v>6080</v>
      </c>
      <c r="I1175" s="6">
        <f t="shared" si="17"/>
        <v>0</v>
      </c>
      <c r="J1175" s="9"/>
      <c r="K1175" s="11"/>
      <c r="L1175" s="11"/>
      <c r="M1175" s="44" t="s">
        <v>20</v>
      </c>
      <c r="N1175" s="4"/>
    </row>
    <row r="1176" spans="1:14">
      <c r="A1176" s="4" t="s">
        <v>933</v>
      </c>
      <c r="B1176" s="4" t="s">
        <v>934</v>
      </c>
      <c r="C1176" s="4" t="s">
        <v>23</v>
      </c>
      <c r="D1176" s="4" t="s">
        <v>935</v>
      </c>
      <c r="E1176" s="3">
        <v>46131</v>
      </c>
      <c r="F1176" s="5">
        <v>1280</v>
      </c>
      <c r="G1176" s="5">
        <v>2420</v>
      </c>
      <c r="H1176" s="61">
        <v>0</v>
      </c>
      <c r="I1176" s="6">
        <f t="shared" si="17"/>
        <v>-1280</v>
      </c>
      <c r="J1176" s="9">
        <v>46253</v>
      </c>
      <c r="K1176" s="11" t="s">
        <v>547</v>
      </c>
      <c r="L1176" s="11" t="s">
        <v>254</v>
      </c>
      <c r="M1176" s="44" t="s">
        <v>20</v>
      </c>
      <c r="N1176" s="3">
        <v>46254</v>
      </c>
    </row>
    <row r="1177" spans="1:14">
      <c r="A1177" s="4" t="s">
        <v>933</v>
      </c>
      <c r="B1177" s="4" t="s">
        <v>934</v>
      </c>
      <c r="C1177" s="4" t="s">
        <v>23</v>
      </c>
      <c r="D1177" s="4" t="s">
        <v>149</v>
      </c>
      <c r="E1177" s="3">
        <v>46145</v>
      </c>
      <c r="F1177" s="5">
        <v>8740</v>
      </c>
      <c r="G1177" s="5">
        <v>6840</v>
      </c>
      <c r="H1177" s="61">
        <v>0</v>
      </c>
      <c r="I1177" s="6">
        <f t="shared" si="17"/>
        <v>-8740</v>
      </c>
      <c r="J1177" s="9">
        <v>46253</v>
      </c>
      <c r="K1177" s="11" t="s">
        <v>547</v>
      </c>
      <c r="L1177" s="11" t="s">
        <v>254</v>
      </c>
      <c r="M1177" s="44" t="s">
        <v>20</v>
      </c>
      <c r="N1177" s="3">
        <v>46274</v>
      </c>
    </row>
    <row r="1178" spans="1:14">
      <c r="A1178" s="4" t="s">
        <v>933</v>
      </c>
      <c r="B1178" s="4" t="s">
        <v>934</v>
      </c>
      <c r="C1178" s="4" t="s">
        <v>23</v>
      </c>
      <c r="D1178" s="4" t="s">
        <v>490</v>
      </c>
      <c r="E1178" s="3">
        <v>46171</v>
      </c>
      <c r="F1178" s="5">
        <v>19000</v>
      </c>
      <c r="G1178" s="5">
        <v>25840</v>
      </c>
      <c r="H1178" s="61">
        <v>3800</v>
      </c>
      <c r="I1178" s="6">
        <f t="shared" si="17"/>
        <v>-15200</v>
      </c>
      <c r="J1178" s="9">
        <v>46253</v>
      </c>
      <c r="K1178" s="11" t="s">
        <v>547</v>
      </c>
      <c r="L1178" s="11" t="s">
        <v>254</v>
      </c>
      <c r="M1178" s="44" t="s">
        <v>20</v>
      </c>
      <c r="N1178" s="3">
        <v>46274</v>
      </c>
    </row>
    <row r="1179" spans="1:14">
      <c r="A1179" s="4" t="s">
        <v>933</v>
      </c>
      <c r="B1179" s="4" t="s">
        <v>934</v>
      </c>
      <c r="C1179" s="4" t="s">
        <v>16</v>
      </c>
      <c r="D1179" s="4">
        <v>8082026</v>
      </c>
      <c r="E1179" s="3"/>
      <c r="F1179" s="5">
        <v>0</v>
      </c>
      <c r="G1179" s="5"/>
      <c r="H1179" s="61">
        <v>149720</v>
      </c>
      <c r="I1179" s="6">
        <f t="shared" si="17"/>
        <v>149720</v>
      </c>
      <c r="J1179" s="9">
        <v>46253</v>
      </c>
      <c r="K1179" s="11" t="s">
        <v>547</v>
      </c>
      <c r="L1179" s="11" t="s">
        <v>254</v>
      </c>
      <c r="M1179" s="44" t="s">
        <v>909</v>
      </c>
      <c r="N1179" s="4"/>
    </row>
    <row r="1180" spans="1:14">
      <c r="A1180" s="4" t="s">
        <v>933</v>
      </c>
      <c r="B1180" s="4" t="s">
        <v>934</v>
      </c>
      <c r="C1180" s="4" t="s">
        <v>16</v>
      </c>
      <c r="D1180" s="4">
        <v>892026</v>
      </c>
      <c r="E1180" s="3"/>
      <c r="F1180" s="5">
        <v>0</v>
      </c>
      <c r="G1180" s="5"/>
      <c r="H1180" s="61">
        <v>380</v>
      </c>
      <c r="I1180" s="6">
        <f t="shared" si="17"/>
        <v>380</v>
      </c>
      <c r="J1180" s="9">
        <v>46253</v>
      </c>
      <c r="K1180" s="11" t="s">
        <v>547</v>
      </c>
      <c r="L1180" s="11" t="s">
        <v>254</v>
      </c>
      <c r="M1180" s="44" t="s">
        <v>909</v>
      </c>
      <c r="N1180" s="4"/>
    </row>
    <row r="1181" spans="1:14">
      <c r="A1181" s="4" t="s">
        <v>936</v>
      </c>
      <c r="B1181" s="4" t="s">
        <v>937</v>
      </c>
      <c r="C1181" s="4" t="s">
        <v>16</v>
      </c>
      <c r="D1181" s="4" t="s">
        <v>28</v>
      </c>
      <c r="E1181" s="3">
        <v>46214</v>
      </c>
      <c r="F1181" s="5">
        <v>193420</v>
      </c>
      <c r="G1181" s="5">
        <v>193420</v>
      </c>
      <c r="H1181" s="61">
        <v>171760</v>
      </c>
      <c r="I1181" s="6">
        <f t="shared" si="17"/>
        <v>-21660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3">
        <v>46254</v>
      </c>
    </row>
    <row r="1182" spans="1:14">
      <c r="A1182" s="4" t="s">
        <v>936</v>
      </c>
      <c r="B1182" s="4" t="s">
        <v>937</v>
      </c>
      <c r="C1182" s="4" t="s">
        <v>16</v>
      </c>
      <c r="D1182" s="4" t="s">
        <v>33</v>
      </c>
      <c r="E1182" s="3">
        <v>46223</v>
      </c>
      <c r="F1182" s="5">
        <v>220780</v>
      </c>
      <c r="G1182" s="5">
        <v>220780</v>
      </c>
      <c r="H1182" s="61">
        <v>228000</v>
      </c>
      <c r="I1182" s="6">
        <f t="shared" si="17"/>
        <v>7220</v>
      </c>
      <c r="J1182" s="9">
        <v>46253</v>
      </c>
      <c r="K1182" s="11" t="s">
        <v>547</v>
      </c>
      <c r="L1182" s="11" t="s">
        <v>254</v>
      </c>
      <c r="M1182" s="44" t="s">
        <v>20</v>
      </c>
      <c r="N1182" s="3">
        <v>46254</v>
      </c>
    </row>
    <row r="1183" spans="1:14">
      <c r="A1183" s="4" t="s">
        <v>936</v>
      </c>
      <c r="B1183" s="4" t="s">
        <v>937</v>
      </c>
      <c r="C1183" s="4" t="s">
        <v>16</v>
      </c>
      <c r="D1183" s="4">
        <v>4302026</v>
      </c>
      <c r="E1183" s="3"/>
      <c r="F1183" s="5">
        <v>0</v>
      </c>
      <c r="G1183" s="5"/>
      <c r="H1183" s="61">
        <v>9120</v>
      </c>
      <c r="I1183" s="6">
        <f t="shared" si="17"/>
        <v>9120</v>
      </c>
      <c r="J1183" s="9">
        <v>46253</v>
      </c>
      <c r="K1183" s="11" t="s">
        <v>547</v>
      </c>
      <c r="L1183" s="11" t="s">
        <v>254</v>
      </c>
      <c r="M1183" s="44" t="s">
        <v>20</v>
      </c>
      <c r="N1183" s="3">
        <v>46254</v>
      </c>
    </row>
    <row r="1184" spans="1:14">
      <c r="A1184" s="4" t="s">
        <v>936</v>
      </c>
      <c r="B1184" s="4" t="s">
        <v>937</v>
      </c>
      <c r="C1184" s="4" t="s">
        <v>16</v>
      </c>
      <c r="D1184" s="4">
        <v>4292026</v>
      </c>
      <c r="E1184" s="3"/>
      <c r="F1184" s="5">
        <v>0</v>
      </c>
      <c r="G1184" s="5"/>
      <c r="H1184" s="61">
        <v>2660</v>
      </c>
      <c r="I1184" s="6">
        <f t="shared" si="17"/>
        <v>2660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3">
        <v>46254</v>
      </c>
    </row>
    <row r="1185" spans="1:14">
      <c r="A1185" s="4" t="s">
        <v>938</v>
      </c>
      <c r="B1185" s="4" t="s">
        <v>934</v>
      </c>
      <c r="C1185" s="4" t="s">
        <v>16</v>
      </c>
      <c r="D1185" s="4" t="s">
        <v>939</v>
      </c>
      <c r="E1185" s="3">
        <v>46035</v>
      </c>
      <c r="F1185" s="5">
        <v>380</v>
      </c>
      <c r="G1185" s="5">
        <v>380</v>
      </c>
      <c r="H1185" s="61">
        <v>0</v>
      </c>
      <c r="I1185" s="6">
        <f t="shared" si="17"/>
        <v>-380</v>
      </c>
      <c r="J1185" s="9">
        <v>46253</v>
      </c>
      <c r="K1185" s="11" t="s">
        <v>547</v>
      </c>
      <c r="L1185" s="11" t="s">
        <v>254</v>
      </c>
      <c r="M1185" s="44" t="s">
        <v>20</v>
      </c>
      <c r="N1185" s="3">
        <v>46254</v>
      </c>
    </row>
    <row r="1186" spans="1:14">
      <c r="A1186" s="4" t="s">
        <v>938</v>
      </c>
      <c r="B1186" s="4" t="s">
        <v>934</v>
      </c>
      <c r="C1186" s="4" t="s">
        <v>23</v>
      </c>
      <c r="D1186" s="4" t="s">
        <v>853</v>
      </c>
      <c r="E1186" s="3">
        <v>46115</v>
      </c>
      <c r="F1186" s="5">
        <v>1140</v>
      </c>
      <c r="G1186" s="5">
        <v>2660</v>
      </c>
      <c r="H1186" s="61">
        <v>0</v>
      </c>
      <c r="I1186" s="6">
        <f t="shared" si="17"/>
        <v>-1140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3">
        <v>46254</v>
      </c>
    </row>
    <row r="1187" spans="1:14">
      <c r="A1187" s="4" t="s">
        <v>938</v>
      </c>
      <c r="B1187" s="4" t="s">
        <v>934</v>
      </c>
      <c r="C1187" s="4" t="s">
        <v>16</v>
      </c>
      <c r="D1187" s="4" t="s">
        <v>940</v>
      </c>
      <c r="E1187" s="3">
        <v>46133</v>
      </c>
      <c r="F1187" s="5">
        <v>380</v>
      </c>
      <c r="G1187" s="5">
        <v>380</v>
      </c>
      <c r="H1187" s="61">
        <v>0</v>
      </c>
      <c r="I1187" s="6">
        <f t="shared" si="17"/>
        <v>-380</v>
      </c>
      <c r="J1187" s="9">
        <v>46253</v>
      </c>
      <c r="K1187" s="11" t="s">
        <v>547</v>
      </c>
      <c r="L1187" s="11" t="s">
        <v>254</v>
      </c>
      <c r="M1187" s="44" t="s">
        <v>20</v>
      </c>
      <c r="N1187" s="3">
        <v>46254</v>
      </c>
    </row>
    <row r="1188" spans="1:14">
      <c r="A1188" s="4" t="s">
        <v>938</v>
      </c>
      <c r="B1188" s="4" t="s">
        <v>934</v>
      </c>
      <c r="C1188" s="4" t="s">
        <v>23</v>
      </c>
      <c r="D1188" s="4" t="s">
        <v>940</v>
      </c>
      <c r="E1188" s="3">
        <v>46133</v>
      </c>
      <c r="F1188" s="5">
        <v>8740</v>
      </c>
      <c r="G1188" s="5">
        <v>8740</v>
      </c>
      <c r="H1188" s="61">
        <v>0</v>
      </c>
      <c r="I1188" s="6">
        <f t="shared" si="17"/>
        <v>-8740</v>
      </c>
      <c r="J1188" s="9">
        <v>46253</v>
      </c>
      <c r="K1188" s="11" t="s">
        <v>547</v>
      </c>
      <c r="L1188" s="11" t="s">
        <v>254</v>
      </c>
      <c r="M1188" s="44" t="s">
        <v>20</v>
      </c>
      <c r="N1188" s="3">
        <v>46254</v>
      </c>
    </row>
    <row r="1189" spans="1:14">
      <c r="A1189" s="4" t="s">
        <v>938</v>
      </c>
      <c r="B1189" s="4" t="s">
        <v>934</v>
      </c>
      <c r="C1189" s="4" t="s">
        <v>23</v>
      </c>
      <c r="D1189" s="4" t="s">
        <v>490</v>
      </c>
      <c r="E1189" s="3">
        <v>46173</v>
      </c>
      <c r="F1189" s="5">
        <v>14440</v>
      </c>
      <c r="G1189" s="5">
        <v>14440</v>
      </c>
      <c r="H1189" s="61">
        <v>0</v>
      </c>
      <c r="I1189" s="6">
        <f t="shared" si="17"/>
        <v>-14440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3">
        <v>46274</v>
      </c>
    </row>
    <row r="1190" spans="1:14">
      <c r="A1190" s="4" t="s">
        <v>938</v>
      </c>
      <c r="B1190" s="4" t="s">
        <v>934</v>
      </c>
      <c r="C1190" s="4" t="s">
        <v>16</v>
      </c>
      <c r="D1190" s="4" t="s">
        <v>490</v>
      </c>
      <c r="E1190" s="3">
        <v>46173</v>
      </c>
      <c r="F1190" s="5">
        <v>1900</v>
      </c>
      <c r="G1190" s="5">
        <v>1900</v>
      </c>
      <c r="H1190" s="61">
        <v>1140</v>
      </c>
      <c r="I1190" s="6">
        <f t="shared" si="17"/>
        <v>-760</v>
      </c>
      <c r="J1190" s="9">
        <v>46253</v>
      </c>
      <c r="K1190" s="11" t="s">
        <v>547</v>
      </c>
      <c r="L1190" s="11" t="s">
        <v>254</v>
      </c>
      <c r="M1190" s="44" t="s">
        <v>20</v>
      </c>
      <c r="N1190" s="3">
        <v>46254</v>
      </c>
    </row>
    <row r="1191" spans="1:14">
      <c r="A1191" s="4" t="s">
        <v>938</v>
      </c>
      <c r="B1191" s="4" t="s">
        <v>934</v>
      </c>
      <c r="C1191" s="4" t="s">
        <v>16</v>
      </c>
      <c r="D1191" s="4" t="s">
        <v>95</v>
      </c>
      <c r="E1191" s="3">
        <v>46244</v>
      </c>
      <c r="F1191" s="5">
        <v>1520</v>
      </c>
      <c r="G1191" s="5">
        <v>1520</v>
      </c>
      <c r="H1191" s="61">
        <v>1520</v>
      </c>
      <c r="I1191" s="6">
        <f t="shared" si="17"/>
        <v>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>
      <c r="A1192" s="4" t="s">
        <v>938</v>
      </c>
      <c r="B1192" s="4" t="s">
        <v>934</v>
      </c>
      <c r="C1192" s="4" t="s">
        <v>16</v>
      </c>
      <c r="D1192" s="4" t="s">
        <v>224</v>
      </c>
      <c r="E1192" s="3">
        <v>46244</v>
      </c>
      <c r="F1192" s="5">
        <v>51300</v>
      </c>
      <c r="G1192" s="5">
        <v>104120</v>
      </c>
      <c r="H1192" s="61">
        <v>51300</v>
      </c>
      <c r="I1192" s="6">
        <f t="shared" si="17"/>
        <v>0</v>
      </c>
      <c r="J1192" s="9">
        <v>46253</v>
      </c>
      <c r="K1192" s="11" t="s">
        <v>547</v>
      </c>
      <c r="L1192" s="11" t="s">
        <v>254</v>
      </c>
      <c r="M1192" s="44" t="s">
        <v>20</v>
      </c>
      <c r="N1192" s="4"/>
    </row>
    <row r="1193" spans="1:14">
      <c r="A1193" s="4" t="s">
        <v>938</v>
      </c>
      <c r="B1193" s="4" t="s">
        <v>934</v>
      </c>
      <c r="C1193" s="4" t="s">
        <v>16</v>
      </c>
      <c r="D1193" s="4">
        <v>3122026</v>
      </c>
      <c r="E1193" s="3"/>
      <c r="F1193" s="5">
        <v>0</v>
      </c>
      <c r="G1193" s="5"/>
      <c r="H1193" s="61">
        <v>760</v>
      </c>
      <c r="I1193" s="6">
        <f t="shared" si="17"/>
        <v>760</v>
      </c>
      <c r="J1193" s="9">
        <v>46253</v>
      </c>
      <c r="K1193" s="11" t="s">
        <v>547</v>
      </c>
      <c r="L1193" s="11" t="s">
        <v>254</v>
      </c>
      <c r="M1193" s="44" t="s">
        <v>20</v>
      </c>
      <c r="N1193" s="3">
        <v>46254</v>
      </c>
    </row>
    <row r="1194" spans="1:14">
      <c r="A1194" s="4" t="s">
        <v>941</v>
      </c>
      <c r="B1194" s="4" t="s">
        <v>942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 t="s">
        <v>20</v>
      </c>
      <c r="N1194" s="4"/>
    </row>
    <row r="1195" spans="1:14">
      <c r="A1195" s="4" t="s">
        <v>941</v>
      </c>
      <c r="B1195" s="4" t="s">
        <v>942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3">
        <v>46254</v>
      </c>
    </row>
    <row r="1196" spans="1:14">
      <c r="A1196" s="4" t="s">
        <v>941</v>
      </c>
      <c r="B1196" s="4" t="s">
        <v>942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3">
        <v>46259</v>
      </c>
    </row>
    <row r="1197" spans="1:14">
      <c r="A1197" s="4" t="s">
        <v>941</v>
      </c>
      <c r="B1197" s="4" t="s">
        <v>942</v>
      </c>
      <c r="C1197" s="4" t="s">
        <v>16</v>
      </c>
      <c r="D1197" s="4" t="s">
        <v>943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3">
        <v>46254</v>
      </c>
    </row>
    <row r="1198" spans="1:14">
      <c r="A1198" s="4" t="s">
        <v>941</v>
      </c>
      <c r="B1198" s="4" t="s">
        <v>942</v>
      </c>
      <c r="C1198" s="4" t="s">
        <v>16</v>
      </c>
      <c r="D1198" s="4" t="s">
        <v>944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3">
        <v>46254</v>
      </c>
    </row>
    <row r="1199" spans="1:14">
      <c r="A1199" s="4" t="s">
        <v>941</v>
      </c>
      <c r="B1199" s="4" t="s">
        <v>942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3">
        <v>46254</v>
      </c>
    </row>
    <row r="1200" spans="1:14">
      <c r="A1200" s="4" t="s">
        <v>941</v>
      </c>
      <c r="B1200" s="4" t="s">
        <v>942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3">
        <v>46254</v>
      </c>
    </row>
    <row r="1201" spans="1:14">
      <c r="A1201" s="4" t="s">
        <v>945</v>
      </c>
      <c r="B1201" s="4" t="s">
        <v>946</v>
      </c>
      <c r="C1201" s="4" t="s">
        <v>16</v>
      </c>
      <c r="D1201" s="4" t="s">
        <v>947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20</v>
      </c>
      <c r="N1201" s="3">
        <v>46255</v>
      </c>
    </row>
    <row r="1202" spans="1:14">
      <c r="A1202" s="4" t="s">
        <v>945</v>
      </c>
      <c r="B1202" s="4" t="s">
        <v>946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20</v>
      </c>
      <c r="N1202" s="3">
        <v>46255</v>
      </c>
    </row>
    <row r="1203" spans="1:14">
      <c r="A1203" s="4" t="s">
        <v>945</v>
      </c>
      <c r="B1203" s="4" t="s">
        <v>946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20</v>
      </c>
      <c r="N1203" s="3">
        <v>46255</v>
      </c>
    </row>
    <row r="1204" spans="1:14">
      <c r="A1204" s="4" t="s">
        <v>945</v>
      </c>
      <c r="B1204" s="4" t="s">
        <v>946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3">
        <v>46255</v>
      </c>
    </row>
    <row r="1205" spans="1:14">
      <c r="A1205" s="4" t="s">
        <v>945</v>
      </c>
      <c r="B1205" s="4" t="s">
        <v>946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 t="s">
        <v>20</v>
      </c>
      <c r="N1205" s="3">
        <v>46255</v>
      </c>
    </row>
    <row r="1206" spans="1:14">
      <c r="A1206" s="4" t="s">
        <v>945</v>
      </c>
      <c r="B1206" s="4" t="s">
        <v>946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 t="s">
        <v>20</v>
      </c>
      <c r="N1206" s="3">
        <v>46255</v>
      </c>
    </row>
    <row r="1207" spans="1:14">
      <c r="A1207" s="4" t="s">
        <v>945</v>
      </c>
      <c r="B1207" s="4" t="s">
        <v>946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20</v>
      </c>
      <c r="N1207" s="3">
        <v>46255</v>
      </c>
    </row>
    <row r="1208" spans="1:14">
      <c r="A1208" s="4" t="s">
        <v>945</v>
      </c>
      <c r="B1208" s="4" t="s">
        <v>946</v>
      </c>
      <c r="C1208" s="4" t="s">
        <v>16</v>
      </c>
      <c r="D1208" s="4">
        <v>6202025</v>
      </c>
      <c r="E1208" s="3"/>
      <c r="F1208" s="5">
        <v>0</v>
      </c>
      <c r="G1208" s="5"/>
      <c r="H1208" s="61">
        <v>760</v>
      </c>
      <c r="I1208" s="6">
        <f t="shared" si="17"/>
        <v>760</v>
      </c>
      <c r="J1208" s="9">
        <v>46253</v>
      </c>
      <c r="K1208" s="11" t="s">
        <v>547</v>
      </c>
      <c r="L1208" s="11" t="s">
        <v>254</v>
      </c>
      <c r="M1208" s="44" t="s">
        <v>20</v>
      </c>
      <c r="N1208" s="3">
        <v>46255</v>
      </c>
    </row>
    <row r="1209" spans="1:14">
      <c r="A1209" s="4" t="s">
        <v>948</v>
      </c>
      <c r="B1209" s="4" t="s">
        <v>949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3">
        <v>46254</v>
      </c>
    </row>
    <row r="1210" spans="1:14">
      <c r="A1210" s="4" t="s">
        <v>948</v>
      </c>
      <c r="B1210" s="4" t="s">
        <v>949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3">
        <v>46254</v>
      </c>
    </row>
    <row r="1211" spans="1:14">
      <c r="A1211" s="4" t="s">
        <v>948</v>
      </c>
      <c r="B1211" s="4" t="s">
        <v>949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 t="s">
        <v>20</v>
      </c>
      <c r="N1211" s="4"/>
    </row>
    <row r="1212" spans="1:14">
      <c r="A1212" s="4" t="s">
        <v>948</v>
      </c>
      <c r="B1212" s="4" t="s">
        <v>949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3">
        <v>46254</v>
      </c>
    </row>
    <row r="1213" spans="1:14">
      <c r="A1213" s="4" t="s">
        <v>948</v>
      </c>
      <c r="B1213" s="4" t="s">
        <v>949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 t="s">
        <v>20</v>
      </c>
      <c r="N1213" s="3">
        <v>46254</v>
      </c>
    </row>
    <row r="1214" spans="1:14">
      <c r="A1214" s="4" t="s">
        <v>948</v>
      </c>
      <c r="B1214" s="4" t="s">
        <v>949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 t="s">
        <v>20</v>
      </c>
      <c r="N1214" s="3">
        <v>46254</v>
      </c>
    </row>
    <row r="1215" spans="1:14">
      <c r="A1215" s="4" t="s">
        <v>948</v>
      </c>
      <c r="B1215" s="4" t="s">
        <v>949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 t="s">
        <v>20</v>
      </c>
      <c r="N1215" s="3">
        <v>46254</v>
      </c>
    </row>
    <row r="1216" spans="1:14">
      <c r="A1216" s="4" t="s">
        <v>950</v>
      </c>
      <c r="B1216" s="4" t="s">
        <v>951</v>
      </c>
      <c r="C1216" s="4" t="s">
        <v>16</v>
      </c>
      <c r="D1216" s="4" t="s">
        <v>952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3">
        <v>46254</v>
      </c>
    </row>
    <row r="1217" spans="1:14">
      <c r="A1217" s="4" t="s">
        <v>953</v>
      </c>
      <c r="B1217" s="4" t="s">
        <v>954</v>
      </c>
      <c r="C1217" s="4" t="s">
        <v>16</v>
      </c>
      <c r="D1217" s="4" t="s">
        <v>955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4">
      <c r="A1218" s="4" t="s">
        <v>956</v>
      </c>
      <c r="B1218" s="4" t="s">
        <v>957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 t="s">
        <v>20</v>
      </c>
      <c r="N1218" s="4"/>
    </row>
    <row r="1219" spans="1:14">
      <c r="A1219" s="4" t="s">
        <v>956</v>
      </c>
      <c r="B1219" s="4" t="s">
        <v>957</v>
      </c>
      <c r="C1219" s="4" t="s">
        <v>16</v>
      </c>
      <c r="D1219" s="4" t="s">
        <v>958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 t="s">
        <v>20</v>
      </c>
      <c r="N1219" s="4"/>
    </row>
    <row r="1220" spans="1:14">
      <c r="A1220" s="4" t="s">
        <v>956</v>
      </c>
      <c r="B1220" s="4" t="s">
        <v>957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 t="s">
        <v>20</v>
      </c>
      <c r="N1220" s="4"/>
    </row>
    <row r="1221" spans="1:14">
      <c r="A1221" s="4" t="s">
        <v>956</v>
      </c>
      <c r="B1221" s="4" t="s">
        <v>957</v>
      </c>
      <c r="C1221" s="4" t="s">
        <v>16</v>
      </c>
      <c r="D1221" s="4" t="s">
        <v>959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4">
      <c r="A1222" s="4" t="s">
        <v>960</v>
      </c>
      <c r="B1222" s="4" t="s">
        <v>961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 t="s">
        <v>20</v>
      </c>
      <c r="N1222" s="4"/>
    </row>
    <row r="1223" spans="1:14">
      <c r="A1223" s="4" t="s">
        <v>960</v>
      </c>
      <c r="B1223" s="4" t="s">
        <v>961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4">
      <c r="A1224" s="4" t="s">
        <v>962</v>
      </c>
      <c r="B1224" s="4" t="s">
        <v>963</v>
      </c>
      <c r="C1224" s="4" t="s">
        <v>16</v>
      </c>
      <c r="D1224" s="4" t="s">
        <v>964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 t="s">
        <v>20</v>
      </c>
      <c r="N1224" s="4"/>
    </row>
    <row r="1225" spans="1:14">
      <c r="A1225" s="4" t="s">
        <v>965</v>
      </c>
      <c r="B1225" s="4" t="s">
        <v>966</v>
      </c>
      <c r="C1225" s="4" t="s">
        <v>16</v>
      </c>
      <c r="D1225" s="4" t="s">
        <v>967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3">
        <v>46254</v>
      </c>
    </row>
    <row r="1226" spans="1:14">
      <c r="A1226" s="4" t="s">
        <v>965</v>
      </c>
      <c r="B1226" s="4" t="s">
        <v>966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3">
        <v>46254</v>
      </c>
    </row>
    <row r="1227" spans="1:14">
      <c r="A1227" s="4" t="s">
        <v>965</v>
      </c>
      <c r="B1227" s="4" t="s">
        <v>966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 t="s">
        <v>20</v>
      </c>
      <c r="N1227" s="4"/>
    </row>
    <row r="1228" spans="1:14">
      <c r="A1228" s="4" t="s">
        <v>965</v>
      </c>
      <c r="B1228" s="4" t="s">
        <v>966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 t="s">
        <v>20</v>
      </c>
      <c r="N1228" s="4"/>
    </row>
    <row r="1229" spans="1:14">
      <c r="A1229" s="4" t="s">
        <v>968</v>
      </c>
      <c r="B1229" s="4" t="s">
        <v>969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4">
      <c r="A1230" s="4" t="s">
        <v>968</v>
      </c>
      <c r="B1230" s="4" t="s">
        <v>969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300" si="18">IF(H1230="","",H1230-F1230)</f>
        <v>0</v>
      </c>
      <c r="J1230" s="9">
        <v>46253</v>
      </c>
      <c r="K1230" s="11" t="s">
        <v>18</v>
      </c>
      <c r="L1230" s="11" t="s">
        <v>136</v>
      </c>
      <c r="M1230" s="44" t="s">
        <v>20</v>
      </c>
      <c r="N1230" s="4"/>
    </row>
    <row r="1231" spans="1:14">
      <c r="A1231" s="4" t="s">
        <v>970</v>
      </c>
      <c r="B1231" s="4" t="s">
        <v>971</v>
      </c>
      <c r="C1231" s="4" t="s">
        <v>23</v>
      </c>
      <c r="D1231" s="4" t="s">
        <v>34</v>
      </c>
      <c r="E1231" s="3">
        <v>46213</v>
      </c>
      <c r="F1231" s="5">
        <v>20900</v>
      </c>
      <c r="G1231" s="5">
        <v>760</v>
      </c>
      <c r="H1231" s="61">
        <v>0</v>
      </c>
      <c r="I1231" s="6">
        <f t="shared" si="18"/>
        <v>-20900</v>
      </c>
      <c r="J1231" s="9">
        <v>46274</v>
      </c>
      <c r="K1231" s="11" t="s">
        <v>18</v>
      </c>
      <c r="L1231" s="11" t="s">
        <v>136</v>
      </c>
      <c r="M1231" s="44" t="s">
        <v>20</v>
      </c>
      <c r="N1231" s="3">
        <v>46274</v>
      </c>
    </row>
    <row r="1232" spans="1:14">
      <c r="A1232" s="4" t="s">
        <v>970</v>
      </c>
      <c r="B1232" s="4" t="s">
        <v>971</v>
      </c>
      <c r="C1232" s="4" t="s">
        <v>16</v>
      </c>
      <c r="D1232" s="4" t="s">
        <v>34</v>
      </c>
      <c r="E1232" s="3">
        <v>46213</v>
      </c>
      <c r="F1232" s="5">
        <v>45600</v>
      </c>
      <c r="G1232" s="5">
        <v>63840</v>
      </c>
      <c r="H1232" s="61">
        <v>1900</v>
      </c>
      <c r="I1232" s="6">
        <f t="shared" si="18"/>
        <v>-43700</v>
      </c>
      <c r="J1232" s="9">
        <v>46274</v>
      </c>
      <c r="K1232" s="11" t="s">
        <v>18</v>
      </c>
      <c r="L1232" s="11" t="s">
        <v>136</v>
      </c>
      <c r="M1232" s="44" t="s">
        <v>20</v>
      </c>
      <c r="N1232" s="3">
        <v>46274</v>
      </c>
    </row>
    <row r="1233" spans="1:14">
      <c r="A1233" s="4" t="s">
        <v>972</v>
      </c>
      <c r="B1233" s="4" t="s">
        <v>973</v>
      </c>
      <c r="C1233" s="4" t="s">
        <v>16</v>
      </c>
      <c r="D1233" s="4" t="s">
        <v>974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 t="s">
        <v>20</v>
      </c>
      <c r="N1233" s="3">
        <v>46274</v>
      </c>
    </row>
    <row r="1234" spans="1:14">
      <c r="A1234" s="4" t="s">
        <v>972</v>
      </c>
      <c r="B1234" s="4" t="s">
        <v>973</v>
      </c>
      <c r="C1234" s="4" t="s">
        <v>23</v>
      </c>
      <c r="D1234" s="4" t="s">
        <v>975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 t="s">
        <v>20</v>
      </c>
      <c r="N1234" s="3">
        <v>46254</v>
      </c>
    </row>
    <row r="1235" spans="1:14">
      <c r="A1235" s="4" t="s">
        <v>972</v>
      </c>
      <c r="B1235" s="4" t="s">
        <v>973</v>
      </c>
      <c r="C1235" s="4" t="s">
        <v>16</v>
      </c>
      <c r="D1235" s="4" t="s">
        <v>975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 t="s">
        <v>20</v>
      </c>
      <c r="N1235" s="3">
        <v>46254</v>
      </c>
    </row>
    <row r="1236" spans="1:14">
      <c r="A1236" s="4" t="s">
        <v>976</v>
      </c>
      <c r="B1236" s="4" t="s">
        <v>977</v>
      </c>
      <c r="C1236" s="4" t="s">
        <v>16</v>
      </c>
      <c r="D1236" s="4" t="s">
        <v>978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 t="s">
        <v>20</v>
      </c>
      <c r="N1236" s="4"/>
    </row>
    <row r="1237" spans="1:14">
      <c r="A1237" s="4" t="s">
        <v>979</v>
      </c>
      <c r="B1237" s="4" t="s">
        <v>980</v>
      </c>
      <c r="C1237" s="4" t="s">
        <v>16</v>
      </c>
      <c r="D1237" s="4" t="s">
        <v>978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 t="s">
        <v>20</v>
      </c>
      <c r="N1237" s="4"/>
    </row>
    <row r="1238" spans="1:14">
      <c r="A1238" s="4" t="s">
        <v>981</v>
      </c>
      <c r="B1238" s="4" t="s">
        <v>982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 t="s">
        <v>20</v>
      </c>
      <c r="N1238" s="4"/>
    </row>
    <row r="1239" spans="1:14">
      <c r="A1239" s="4" t="s">
        <v>981</v>
      </c>
      <c r="B1239" s="4" t="s">
        <v>982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 t="s">
        <v>20</v>
      </c>
      <c r="N1239" s="4"/>
    </row>
    <row r="1240" spans="1:14">
      <c r="A1240" s="4" t="s">
        <v>981</v>
      </c>
      <c r="B1240" s="4" t="s">
        <v>982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3">
        <v>46254</v>
      </c>
    </row>
    <row r="1241" spans="1:14">
      <c r="A1241" s="4" t="s">
        <v>983</v>
      </c>
      <c r="B1241" s="4" t="s">
        <v>984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3">
        <v>46254</v>
      </c>
    </row>
    <row r="1242" spans="1:14">
      <c r="A1242" s="4" t="s">
        <v>983</v>
      </c>
      <c r="B1242" s="4" t="s">
        <v>984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 t="s">
        <v>20</v>
      </c>
      <c r="N1242" s="4"/>
    </row>
    <row r="1243" spans="1:14">
      <c r="A1243" s="4" t="s">
        <v>983</v>
      </c>
      <c r="B1243" s="4" t="s">
        <v>984</v>
      </c>
      <c r="C1243" s="4" t="s">
        <v>16</v>
      </c>
      <c r="D1243" s="4" t="s">
        <v>985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3">
        <v>46254</v>
      </c>
    </row>
    <row r="1244" spans="1:14">
      <c r="A1244" s="4" t="s">
        <v>986</v>
      </c>
      <c r="B1244" s="4" t="s">
        <v>987</v>
      </c>
      <c r="C1244" s="4" t="s">
        <v>16</v>
      </c>
      <c r="D1244" s="4" t="s">
        <v>988</v>
      </c>
      <c r="E1244" s="3">
        <v>45791</v>
      </c>
      <c r="F1244" s="5">
        <v>8360</v>
      </c>
      <c r="G1244" s="5">
        <v>8360</v>
      </c>
      <c r="H1244" s="61">
        <v>0</v>
      </c>
      <c r="I1244" s="6">
        <f t="shared" si="18"/>
        <v>-8360</v>
      </c>
      <c r="J1244" s="9"/>
      <c r="K1244" s="11"/>
      <c r="L1244" s="11"/>
      <c r="M1244" s="44" t="s">
        <v>20</v>
      </c>
      <c r="N1244" s="3">
        <v>46274</v>
      </c>
    </row>
    <row r="1245" spans="1:14">
      <c r="A1245" s="4" t="s">
        <v>989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0</v>
      </c>
      <c r="G1245" s="5">
        <v>1520</v>
      </c>
      <c r="H1245" s="61">
        <v>0</v>
      </c>
      <c r="I1245" s="6">
        <f t="shared" si="18"/>
        <v>0</v>
      </c>
      <c r="J1245" s="9">
        <v>46246</v>
      </c>
      <c r="K1245" s="31" t="s">
        <v>990</v>
      </c>
      <c r="L1245" s="31" t="s">
        <v>382</v>
      </c>
      <c r="M1245" s="44" t="s">
        <v>20</v>
      </c>
      <c r="N1245" s="4"/>
    </row>
    <row r="1246" spans="1:14">
      <c r="A1246" s="4" t="s">
        <v>989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0</v>
      </c>
      <c r="G1246" s="5">
        <v>33440</v>
      </c>
      <c r="H1246" s="61">
        <v>0</v>
      </c>
      <c r="I1246" s="6">
        <f t="shared" ref="I1246:I1247" si="19">IF(H1246="","",H1246-F1246)</f>
        <v>0</v>
      </c>
      <c r="J1246" s="9">
        <v>46246</v>
      </c>
      <c r="K1246" s="31" t="s">
        <v>990</v>
      </c>
      <c r="L1246" s="31" t="s">
        <v>382</v>
      </c>
      <c r="M1246" s="44" t="s">
        <v>20</v>
      </c>
      <c r="N1246" s="4"/>
    </row>
    <row r="1247" spans="1:14">
      <c r="A1247" s="4" t="s">
        <v>989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0</v>
      </c>
      <c r="G1247" s="5">
        <v>64600</v>
      </c>
      <c r="H1247" s="61">
        <v>0</v>
      </c>
      <c r="I1247" s="6">
        <f t="shared" si="19"/>
        <v>0</v>
      </c>
      <c r="J1247" s="9">
        <v>46246</v>
      </c>
      <c r="K1247" s="31" t="s">
        <v>990</v>
      </c>
      <c r="L1247" s="31" t="s">
        <v>382</v>
      </c>
      <c r="M1247" s="44" t="s">
        <v>20</v>
      </c>
      <c r="N1247" s="4"/>
    </row>
    <row r="1248" spans="1:14">
      <c r="A1248" s="4" t="s">
        <v>989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 t="s">
        <v>20</v>
      </c>
      <c r="N1248" s="3">
        <v>46274</v>
      </c>
    </row>
    <row r="1249" spans="1:14">
      <c r="A1249" s="4" t="s">
        <v>991</v>
      </c>
      <c r="B1249" s="4" t="s">
        <v>992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 t="s">
        <v>20</v>
      </c>
      <c r="N1249" s="3">
        <v>46246</v>
      </c>
    </row>
    <row r="1250" spans="1:14">
      <c r="A1250" s="4" t="s">
        <v>991</v>
      </c>
      <c r="B1250" s="4" t="s">
        <v>992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 t="s">
        <v>20</v>
      </c>
      <c r="N1250" s="3">
        <v>46246</v>
      </c>
    </row>
    <row r="1251" spans="1:14">
      <c r="A1251" s="4" t="s">
        <v>991</v>
      </c>
      <c r="B1251" s="4" t="s">
        <v>992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 t="s">
        <v>20</v>
      </c>
      <c r="N1251" s="3">
        <v>46246</v>
      </c>
    </row>
    <row r="1252" spans="1:14">
      <c r="A1252" s="4" t="s">
        <v>991</v>
      </c>
      <c r="B1252" s="4" t="s">
        <v>992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 t="s">
        <v>20</v>
      </c>
      <c r="N1252" s="3">
        <v>46246</v>
      </c>
    </row>
    <row r="1253" spans="1:14">
      <c r="A1253" s="4" t="s">
        <v>991</v>
      </c>
      <c r="B1253" s="4" t="s">
        <v>992</v>
      </c>
      <c r="C1253" s="4" t="s">
        <v>25</v>
      </c>
      <c r="D1253" s="4" t="s">
        <v>73</v>
      </c>
      <c r="E1253" s="3">
        <v>46167</v>
      </c>
      <c r="F1253" s="5">
        <v>15960</v>
      </c>
      <c r="G1253" s="5">
        <v>16720</v>
      </c>
      <c r="H1253" s="61">
        <v>5700</v>
      </c>
      <c r="I1253" s="6">
        <f t="shared" si="18"/>
        <v>-10260</v>
      </c>
      <c r="J1253" s="9">
        <v>46245</v>
      </c>
      <c r="K1253" s="11" t="s">
        <v>639</v>
      </c>
      <c r="L1253" s="11" t="s">
        <v>382</v>
      </c>
      <c r="M1253" s="44" t="s">
        <v>20</v>
      </c>
      <c r="N1253" s="3">
        <v>46273</v>
      </c>
    </row>
    <row r="1254" spans="1:14">
      <c r="A1254" s="4" t="s">
        <v>991</v>
      </c>
      <c r="B1254" s="4" t="s">
        <v>992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 t="s">
        <v>20</v>
      </c>
      <c r="N1254" s="3">
        <v>46246</v>
      </c>
    </row>
    <row r="1255" spans="1:14">
      <c r="A1255" s="4" t="s">
        <v>991</v>
      </c>
      <c r="B1255" s="4" t="s">
        <v>992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 t="s">
        <v>20</v>
      </c>
      <c r="N1255" s="3">
        <v>46246</v>
      </c>
    </row>
    <row r="1256" spans="1:14">
      <c r="A1256" s="4" t="s">
        <v>991</v>
      </c>
      <c r="B1256" s="4" t="s">
        <v>992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 t="s">
        <v>20</v>
      </c>
      <c r="N1256" s="3">
        <v>46246</v>
      </c>
    </row>
    <row r="1257" spans="1:14">
      <c r="A1257" s="4" t="s">
        <v>991</v>
      </c>
      <c r="B1257" s="4" t="s">
        <v>992</v>
      </c>
      <c r="C1257" s="4" t="s">
        <v>16</v>
      </c>
      <c r="D1257" s="4" t="s">
        <v>993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 t="s">
        <v>20</v>
      </c>
      <c r="N1257" s="3">
        <v>46246</v>
      </c>
    </row>
    <row r="1258" spans="1:14">
      <c r="A1258" s="4" t="s">
        <v>991</v>
      </c>
      <c r="B1258" s="4" t="s">
        <v>992</v>
      </c>
      <c r="C1258" s="4" t="s">
        <v>16</v>
      </c>
      <c r="D1258" s="4" t="s">
        <v>994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 t="s">
        <v>20</v>
      </c>
      <c r="N1258" s="3">
        <v>46246</v>
      </c>
    </row>
    <row r="1259" spans="1:14">
      <c r="A1259" s="4" t="s">
        <v>991</v>
      </c>
      <c r="B1259" s="4" t="s">
        <v>992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 t="s">
        <v>20</v>
      </c>
      <c r="N1259" s="3">
        <v>46246</v>
      </c>
    </row>
    <row r="1260" spans="1:14">
      <c r="A1260" s="4" t="s">
        <v>991</v>
      </c>
      <c r="B1260" s="4" t="s">
        <v>992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 t="s">
        <v>20</v>
      </c>
      <c r="N1260" s="3">
        <v>46246</v>
      </c>
    </row>
    <row r="1261" spans="1:14">
      <c r="A1261" s="4" t="s">
        <v>991</v>
      </c>
      <c r="B1261" s="4" t="s">
        <v>992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 t="s">
        <v>20</v>
      </c>
      <c r="N1261" s="3">
        <v>46246</v>
      </c>
    </row>
    <row r="1262" spans="1:14">
      <c r="A1262" s="4" t="s">
        <v>991</v>
      </c>
      <c r="B1262" s="4" t="s">
        <v>992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 t="s">
        <v>20</v>
      </c>
      <c r="N1262" s="3">
        <v>46246</v>
      </c>
    </row>
    <row r="1263" spans="1:14">
      <c r="A1263" s="4" t="s">
        <v>991</v>
      </c>
      <c r="B1263" s="4" t="s">
        <v>992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 t="s">
        <v>20</v>
      </c>
      <c r="N1263" s="3">
        <v>46246</v>
      </c>
    </row>
    <row r="1264" spans="1:14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 t="s">
        <v>20</v>
      </c>
      <c r="N1264" s="3">
        <v>46246</v>
      </c>
    </row>
    <row r="1265" spans="1:14">
      <c r="A1265" s="4" t="s">
        <v>995</v>
      </c>
      <c r="B1265" s="4" t="s">
        <v>996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 t="s">
        <v>20</v>
      </c>
      <c r="N1265" s="3">
        <v>46246</v>
      </c>
    </row>
    <row r="1266" spans="1:14">
      <c r="A1266" s="4" t="s">
        <v>995</v>
      </c>
      <c r="B1266" s="4" t="s">
        <v>996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 t="s">
        <v>20</v>
      </c>
      <c r="N1266" s="3">
        <v>46246</v>
      </c>
    </row>
    <row r="1267" spans="1:14">
      <c r="A1267" s="4" t="s">
        <v>995</v>
      </c>
      <c r="B1267" s="4" t="s">
        <v>996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 t="s">
        <v>20</v>
      </c>
      <c r="N1267" s="3">
        <v>46246</v>
      </c>
    </row>
    <row r="1268" spans="1:14">
      <c r="A1268" s="4" t="s">
        <v>995</v>
      </c>
      <c r="B1268" s="4" t="s">
        <v>996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 t="s">
        <v>20</v>
      </c>
      <c r="N1268" s="3">
        <v>46246</v>
      </c>
    </row>
    <row r="1269" spans="1:14">
      <c r="A1269" s="4" t="s">
        <v>995</v>
      </c>
      <c r="B1269" s="4" t="s">
        <v>996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 t="s">
        <v>20</v>
      </c>
      <c r="N1269" s="3">
        <v>46246</v>
      </c>
    </row>
    <row r="1270" spans="1:14">
      <c r="A1270" s="4" t="s">
        <v>995</v>
      </c>
      <c r="B1270" s="4" t="s">
        <v>996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 t="s">
        <v>20</v>
      </c>
      <c r="N1270" s="3">
        <v>46246</v>
      </c>
    </row>
    <row r="1271" spans="1:14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 t="s">
        <v>20</v>
      </c>
      <c r="N1271" s="3">
        <v>46246</v>
      </c>
    </row>
    <row r="1272" spans="1:14">
      <c r="A1272" s="4" t="s">
        <v>997</v>
      </c>
      <c r="B1272" s="4" t="s">
        <v>998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f t="shared" ref="I1272:I1278" si="20">IF(H1272="","",H1272-F1272)</f>
        <v>-380</v>
      </c>
      <c r="J1272" s="9">
        <v>46253</v>
      </c>
      <c r="K1272" s="11" t="s">
        <v>18</v>
      </c>
      <c r="L1272" s="11" t="s">
        <v>136</v>
      </c>
      <c r="M1272" s="44" t="s">
        <v>20</v>
      </c>
      <c r="N1272" s="3">
        <v>46274</v>
      </c>
    </row>
    <row r="1273" spans="1:14">
      <c r="A1273" s="4" t="s">
        <v>997</v>
      </c>
      <c r="B1273" s="4" t="s">
        <v>998</v>
      </c>
      <c r="C1273" s="4" t="s">
        <v>16</v>
      </c>
      <c r="D1273" s="4" t="s">
        <v>95</v>
      </c>
      <c r="E1273" s="3">
        <v>46188</v>
      </c>
      <c r="F1273" s="5">
        <v>0</v>
      </c>
      <c r="G1273" s="5">
        <v>11780</v>
      </c>
      <c r="H1273" s="61">
        <v>0</v>
      </c>
      <c r="I1273" s="6">
        <f t="shared" si="20"/>
        <v>0</v>
      </c>
      <c r="J1273" s="9">
        <v>46253</v>
      </c>
      <c r="K1273" s="11" t="s">
        <v>18</v>
      </c>
      <c r="L1273" s="11" t="s">
        <v>136</v>
      </c>
      <c r="M1273" s="44" t="s">
        <v>20</v>
      </c>
      <c r="N1273" s="4"/>
    </row>
    <row r="1274" spans="1:14">
      <c r="A1274" s="4" t="s">
        <v>997</v>
      </c>
      <c r="B1274" s="4" t="s">
        <v>998</v>
      </c>
      <c r="C1274" s="4" t="s">
        <v>23</v>
      </c>
      <c r="D1274" s="4">
        <v>4022026</v>
      </c>
      <c r="E1274" s="3"/>
      <c r="F1274" s="5">
        <v>1520</v>
      </c>
      <c r="G1274" s="5"/>
      <c r="H1274" s="61">
        <v>0</v>
      </c>
      <c r="I1274" s="6">
        <f t="shared" si="20"/>
        <v>-1520</v>
      </c>
      <c r="J1274" s="9"/>
      <c r="K1274" s="11"/>
      <c r="L1274" s="11"/>
      <c r="M1274" s="44" t="s">
        <v>20</v>
      </c>
      <c r="N1274" s="3">
        <v>46274</v>
      </c>
    </row>
    <row r="1275" spans="1:14">
      <c r="A1275" s="4" t="s">
        <v>997</v>
      </c>
      <c r="B1275" s="4" t="s">
        <v>998</v>
      </c>
      <c r="C1275" s="4" t="s">
        <v>23</v>
      </c>
      <c r="D1275" s="4">
        <v>7032026</v>
      </c>
      <c r="E1275" s="3"/>
      <c r="F1275" s="5">
        <v>-1520</v>
      </c>
      <c r="G1275" s="5"/>
      <c r="H1275" s="61">
        <v>0</v>
      </c>
      <c r="I1275" s="6">
        <f t="shared" si="20"/>
        <v>1520</v>
      </c>
      <c r="J1275" s="9"/>
      <c r="K1275" s="11"/>
      <c r="L1275" s="11"/>
      <c r="M1275" s="44" t="s">
        <v>20</v>
      </c>
      <c r="N1275" s="3">
        <v>46274</v>
      </c>
    </row>
    <row r="1276" spans="1:14">
      <c r="A1276" s="4" t="s">
        <v>997</v>
      </c>
      <c r="B1276" s="4" t="s">
        <v>998</v>
      </c>
      <c r="C1276" s="4" t="s">
        <v>16</v>
      </c>
      <c r="D1276" s="3">
        <v>46248</v>
      </c>
      <c r="E1276" s="3"/>
      <c r="F1276" s="5">
        <v>31540</v>
      </c>
      <c r="G1276" s="5"/>
      <c r="H1276" s="61">
        <v>31540</v>
      </c>
      <c r="I1276" s="6">
        <f t="shared" si="20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>
      <c r="A1277" s="4" t="s">
        <v>997</v>
      </c>
      <c r="B1277" s="4" t="s">
        <v>998</v>
      </c>
      <c r="C1277" s="4" t="s">
        <v>16</v>
      </c>
      <c r="D1277" s="4" t="s">
        <v>33</v>
      </c>
      <c r="E1277" s="3">
        <v>46221</v>
      </c>
      <c r="F1277" s="5">
        <v>6460</v>
      </c>
      <c r="G1277" s="5">
        <v>6460</v>
      </c>
      <c r="H1277" s="61">
        <v>6460</v>
      </c>
      <c r="I1277" s="6">
        <f t="shared" si="20"/>
        <v>0</v>
      </c>
      <c r="J1277" s="9">
        <v>46253</v>
      </c>
      <c r="K1277" s="11" t="s">
        <v>18</v>
      </c>
      <c r="L1277" s="11" t="s">
        <v>136</v>
      </c>
      <c r="M1277" s="44" t="s">
        <v>20</v>
      </c>
      <c r="N1277" s="4"/>
    </row>
    <row r="1278" spans="1:14">
      <c r="A1278" s="4" t="s">
        <v>999</v>
      </c>
      <c r="B1278" s="4" t="s">
        <v>1000</v>
      </c>
      <c r="C1278" s="4" t="s">
        <v>25</v>
      </c>
      <c r="D1278" s="4" t="s">
        <v>117</v>
      </c>
      <c r="E1278" s="3">
        <v>46202</v>
      </c>
      <c r="F1278" s="5">
        <v>760</v>
      </c>
      <c r="G1278" s="5">
        <v>760</v>
      </c>
      <c r="H1278" s="61">
        <v>760</v>
      </c>
      <c r="I1278" s="6">
        <f t="shared" si="20"/>
        <v>0</v>
      </c>
      <c r="J1278" s="9">
        <v>46253</v>
      </c>
      <c r="K1278" s="11" t="s">
        <v>18</v>
      </c>
      <c r="L1278" s="11" t="s">
        <v>136</v>
      </c>
      <c r="M1278" s="44" t="s">
        <v>20</v>
      </c>
      <c r="N1278" s="3">
        <v>46259</v>
      </c>
    </row>
    <row r="1279" spans="1:14">
      <c r="A1279" s="4" t="s">
        <v>1001</v>
      </c>
      <c r="B1279" s="4" t="s">
        <v>1002</v>
      </c>
      <c r="C1279" s="4" t="s">
        <v>16</v>
      </c>
      <c r="D1279" s="4" t="s">
        <v>653</v>
      </c>
      <c r="E1279" s="3">
        <v>46232</v>
      </c>
      <c r="F1279" s="5">
        <v>30780</v>
      </c>
      <c r="G1279" s="5">
        <v>30780</v>
      </c>
      <c r="H1279" s="61">
        <v>29640</v>
      </c>
      <c r="I1279" s="6">
        <f t="shared" si="18"/>
        <v>-1140</v>
      </c>
      <c r="J1279" s="32">
        <v>46254</v>
      </c>
      <c r="K1279" s="31" t="s">
        <v>1003</v>
      </c>
      <c r="L1279" s="31" t="s">
        <v>382</v>
      </c>
      <c r="M1279" s="44" t="s">
        <v>20</v>
      </c>
      <c r="N1279" s="3">
        <v>46259</v>
      </c>
    </row>
    <row r="1280" spans="1:14">
      <c r="A1280" s="4" t="s">
        <v>1004</v>
      </c>
      <c r="B1280" s="4" t="s">
        <v>1002</v>
      </c>
      <c r="C1280" s="4" t="s">
        <v>16</v>
      </c>
      <c r="D1280" s="4" t="s">
        <v>1005</v>
      </c>
      <c r="E1280" s="3">
        <v>46094</v>
      </c>
      <c r="F1280" s="5">
        <v>1140</v>
      </c>
      <c r="G1280" s="5">
        <v>760</v>
      </c>
      <c r="H1280" s="61">
        <v>1140</v>
      </c>
      <c r="I1280" s="6">
        <f t="shared" si="18"/>
        <v>0</v>
      </c>
      <c r="J1280" s="32">
        <v>46254</v>
      </c>
      <c r="K1280" s="31" t="s">
        <v>1003</v>
      </c>
      <c r="L1280" s="31" t="s">
        <v>382</v>
      </c>
      <c r="M1280" s="44" t="s">
        <v>20</v>
      </c>
      <c r="N1280" s="3">
        <v>46259</v>
      </c>
    </row>
    <row r="1281" spans="1:14">
      <c r="A1281" s="4" t="s">
        <v>1004</v>
      </c>
      <c r="B1281" s="4" t="s">
        <v>1002</v>
      </c>
      <c r="C1281" s="4" t="s">
        <v>23</v>
      </c>
      <c r="D1281" s="4" t="s">
        <v>184</v>
      </c>
      <c r="E1281" s="3">
        <v>46119</v>
      </c>
      <c r="F1281" s="5">
        <v>5320</v>
      </c>
      <c r="G1281" s="5">
        <v>5320</v>
      </c>
      <c r="H1281" s="61">
        <v>0</v>
      </c>
      <c r="I1281" s="6">
        <f t="shared" si="18"/>
        <v>-5320</v>
      </c>
      <c r="J1281" s="32">
        <v>46254</v>
      </c>
      <c r="K1281" s="31" t="s">
        <v>1003</v>
      </c>
      <c r="L1281" s="31" t="s">
        <v>382</v>
      </c>
      <c r="M1281" s="44" t="s">
        <v>20</v>
      </c>
      <c r="N1281" s="3">
        <v>46259</v>
      </c>
    </row>
    <row r="1282" spans="1:14">
      <c r="A1282" s="4" t="s">
        <v>1004</v>
      </c>
      <c r="B1282" s="4" t="s">
        <v>1002</v>
      </c>
      <c r="C1282" s="4" t="s">
        <v>16</v>
      </c>
      <c r="D1282" s="4" t="s">
        <v>95</v>
      </c>
      <c r="E1282" s="3">
        <v>46174</v>
      </c>
      <c r="F1282" s="5">
        <v>1900</v>
      </c>
      <c r="G1282" s="5">
        <v>1900</v>
      </c>
      <c r="H1282" s="61">
        <v>0</v>
      </c>
      <c r="I1282" s="6">
        <f t="shared" si="18"/>
        <v>-1900</v>
      </c>
      <c r="J1282" s="32">
        <v>46254</v>
      </c>
      <c r="K1282" s="31" t="s">
        <v>1003</v>
      </c>
      <c r="L1282" s="31" t="s">
        <v>382</v>
      </c>
      <c r="M1282" s="44" t="s">
        <v>20</v>
      </c>
      <c r="N1282" s="3">
        <v>46255</v>
      </c>
    </row>
    <row r="1283" spans="1:14">
      <c r="A1283" s="4" t="s">
        <v>1004</v>
      </c>
      <c r="B1283" s="4" t="s">
        <v>1002</v>
      </c>
      <c r="C1283" s="4" t="s">
        <v>16</v>
      </c>
      <c r="D1283" s="4" t="s">
        <v>184</v>
      </c>
      <c r="E1283" s="3">
        <v>46174</v>
      </c>
      <c r="F1283" s="5">
        <v>380</v>
      </c>
      <c r="G1283" s="5">
        <v>380</v>
      </c>
      <c r="H1283" s="61">
        <v>760</v>
      </c>
      <c r="I1283" s="6">
        <f t="shared" si="18"/>
        <v>380</v>
      </c>
      <c r="J1283" s="32">
        <v>46254</v>
      </c>
      <c r="K1283" s="31" t="s">
        <v>1003</v>
      </c>
      <c r="L1283" s="31" t="s">
        <v>382</v>
      </c>
      <c r="M1283" s="44" t="s">
        <v>20</v>
      </c>
      <c r="N1283" s="3">
        <v>46259</v>
      </c>
    </row>
    <row r="1284" spans="1:14">
      <c r="A1284" s="4" t="s">
        <v>1004</v>
      </c>
      <c r="B1284" s="4" t="s">
        <v>1002</v>
      </c>
      <c r="C1284" s="4" t="s">
        <v>16</v>
      </c>
      <c r="D1284" s="4" t="s">
        <v>33</v>
      </c>
      <c r="E1284" s="3">
        <v>46224</v>
      </c>
      <c r="F1284" s="5">
        <v>4180</v>
      </c>
      <c r="G1284" s="5">
        <v>7980</v>
      </c>
      <c r="H1284" s="61">
        <v>3800</v>
      </c>
      <c r="I1284" s="6">
        <f t="shared" si="18"/>
        <v>-380</v>
      </c>
      <c r="J1284" s="32">
        <v>46254</v>
      </c>
      <c r="K1284" s="31" t="s">
        <v>1003</v>
      </c>
      <c r="L1284" s="31" t="s">
        <v>382</v>
      </c>
      <c r="M1284" s="44" t="s">
        <v>20</v>
      </c>
      <c r="N1284" s="3">
        <v>46259</v>
      </c>
    </row>
    <row r="1285" spans="1:14">
      <c r="A1285" s="4" t="s">
        <v>1006</v>
      </c>
      <c r="B1285" s="4" t="s">
        <v>1007</v>
      </c>
      <c r="C1285" s="4" t="s">
        <v>16</v>
      </c>
      <c r="D1285" s="4" t="s">
        <v>363</v>
      </c>
      <c r="E1285" s="3">
        <v>46115</v>
      </c>
      <c r="F1285" s="5">
        <f>1861+471</f>
        <v>2332</v>
      </c>
      <c r="G1285" s="5">
        <v>1861</v>
      </c>
      <c r="H1285" s="61">
        <v>2660</v>
      </c>
      <c r="I1285" s="6">
        <f t="shared" si="18"/>
        <v>328</v>
      </c>
      <c r="J1285" s="32">
        <v>46254</v>
      </c>
      <c r="K1285" s="31" t="s">
        <v>1003</v>
      </c>
      <c r="L1285" s="31" t="s">
        <v>382</v>
      </c>
      <c r="M1285" s="44" t="s">
        <v>20</v>
      </c>
      <c r="N1285" s="3">
        <v>46255</v>
      </c>
    </row>
    <row r="1286" spans="1:14">
      <c r="A1286" s="4" t="s">
        <v>1006</v>
      </c>
      <c r="B1286" s="4" t="s">
        <v>1007</v>
      </c>
      <c r="C1286" s="4" t="s">
        <v>23</v>
      </c>
      <c r="D1286" s="3">
        <v>46194</v>
      </c>
      <c r="E1286" s="3">
        <v>46146</v>
      </c>
      <c r="F1286" s="5">
        <v>0</v>
      </c>
      <c r="G1286" s="5">
        <v>4580</v>
      </c>
      <c r="H1286" s="61">
        <v>2280</v>
      </c>
      <c r="I1286" s="6">
        <f t="shared" si="18"/>
        <v>2280</v>
      </c>
      <c r="J1286" s="32">
        <v>46254</v>
      </c>
      <c r="K1286" s="31" t="s">
        <v>1003</v>
      </c>
      <c r="L1286" s="31" t="s">
        <v>382</v>
      </c>
      <c r="M1286" s="44" t="s">
        <v>20</v>
      </c>
      <c r="N1286" s="3">
        <v>46255</v>
      </c>
    </row>
    <row r="1287" spans="1:14">
      <c r="A1287" s="4" t="s">
        <v>1006</v>
      </c>
      <c r="B1287" s="4" t="s">
        <v>1007</v>
      </c>
      <c r="C1287" s="40" t="s">
        <v>16</v>
      </c>
      <c r="D1287" s="4" t="s">
        <v>261</v>
      </c>
      <c r="E1287" s="3"/>
      <c r="F1287" s="5"/>
      <c r="G1287" s="5"/>
      <c r="H1287" s="61">
        <v>0</v>
      </c>
      <c r="I1287" s="6"/>
      <c r="J1287" s="32">
        <v>46254</v>
      </c>
      <c r="K1287" s="31" t="s">
        <v>1003</v>
      </c>
      <c r="L1287" s="31" t="s">
        <v>382</v>
      </c>
      <c r="M1287" s="44" t="s">
        <v>20</v>
      </c>
      <c r="N1287" s="3">
        <v>46255</v>
      </c>
    </row>
    <row r="1288" spans="1:14">
      <c r="A1288" s="4" t="s">
        <v>1008</v>
      </c>
      <c r="B1288" s="4" t="s">
        <v>1009</v>
      </c>
      <c r="C1288" s="4" t="s">
        <v>16</v>
      </c>
      <c r="D1288" s="4" t="s">
        <v>1010</v>
      </c>
      <c r="E1288" s="3">
        <v>45943</v>
      </c>
      <c r="F1288" s="5">
        <v>1900</v>
      </c>
      <c r="G1288" s="5">
        <v>1900</v>
      </c>
      <c r="H1288" s="61">
        <v>1900</v>
      </c>
      <c r="I1288" s="6">
        <f t="shared" si="18"/>
        <v>0</v>
      </c>
      <c r="J1288" s="32">
        <v>46254</v>
      </c>
      <c r="K1288" s="31" t="s">
        <v>1003</v>
      </c>
      <c r="L1288" s="31" t="s">
        <v>382</v>
      </c>
      <c r="M1288" s="44" t="s">
        <v>20</v>
      </c>
      <c r="N1288" s="3">
        <v>46255</v>
      </c>
    </row>
    <row r="1289" spans="1:14">
      <c r="A1289" s="4" t="s">
        <v>1008</v>
      </c>
      <c r="B1289" s="4" t="s">
        <v>1009</v>
      </c>
      <c r="C1289" s="4" t="s">
        <v>16</v>
      </c>
      <c r="D1289" s="4" t="s">
        <v>1011</v>
      </c>
      <c r="E1289" s="3">
        <v>45992</v>
      </c>
      <c r="F1289" s="5">
        <v>1140</v>
      </c>
      <c r="G1289" s="5">
        <v>1140</v>
      </c>
      <c r="H1289" s="61">
        <v>1140</v>
      </c>
      <c r="I1289" s="6">
        <f t="shared" si="18"/>
        <v>0</v>
      </c>
      <c r="J1289" s="32">
        <v>46254</v>
      </c>
      <c r="K1289" s="31" t="s">
        <v>1003</v>
      </c>
      <c r="L1289" s="31" t="s">
        <v>382</v>
      </c>
      <c r="M1289" s="44" t="s">
        <v>20</v>
      </c>
      <c r="N1289" s="3">
        <v>46255</v>
      </c>
    </row>
    <row r="1290" spans="1:14">
      <c r="A1290" s="4" t="s">
        <v>1012</v>
      </c>
      <c r="B1290" s="4" t="s">
        <v>1013</v>
      </c>
      <c r="C1290" s="4" t="s">
        <v>16</v>
      </c>
      <c r="D1290" s="4" t="s">
        <v>1014</v>
      </c>
      <c r="E1290" s="3">
        <v>45786</v>
      </c>
      <c r="F1290" s="5">
        <v>2660</v>
      </c>
      <c r="G1290" s="5">
        <v>2660</v>
      </c>
      <c r="H1290" s="61">
        <v>0</v>
      </c>
      <c r="I1290" s="6">
        <f t="shared" si="18"/>
        <v>-2660</v>
      </c>
      <c r="J1290" s="32">
        <v>46254</v>
      </c>
      <c r="K1290" s="31" t="s">
        <v>1003</v>
      </c>
      <c r="L1290" s="31" t="s">
        <v>382</v>
      </c>
      <c r="M1290" s="44" t="s">
        <v>20</v>
      </c>
      <c r="N1290" s="3">
        <v>46255</v>
      </c>
    </row>
    <row r="1291" spans="1:14">
      <c r="A1291" s="4" t="s">
        <v>1012</v>
      </c>
      <c r="B1291" s="4" t="s">
        <v>1013</v>
      </c>
      <c r="C1291" s="4" t="s">
        <v>89</v>
      </c>
      <c r="D1291" s="4" t="s">
        <v>1014</v>
      </c>
      <c r="E1291" s="3">
        <v>45786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1003</v>
      </c>
      <c r="L1291" s="31" t="s">
        <v>382</v>
      </c>
      <c r="M1291" s="44" t="s">
        <v>20</v>
      </c>
      <c r="N1291" s="3">
        <v>46255</v>
      </c>
    </row>
    <row r="1292" spans="1:14">
      <c r="A1292" s="4" t="s">
        <v>1012</v>
      </c>
      <c r="B1292" s="4" t="s">
        <v>1013</v>
      </c>
      <c r="C1292" s="4" t="s">
        <v>16</v>
      </c>
      <c r="D1292" s="4" t="s">
        <v>1015</v>
      </c>
      <c r="E1292" s="3">
        <v>45789</v>
      </c>
      <c r="F1292" s="5">
        <v>4560</v>
      </c>
      <c r="G1292" s="5">
        <v>4560</v>
      </c>
      <c r="H1292" s="61">
        <v>0</v>
      </c>
      <c r="I1292" s="6">
        <f t="shared" si="18"/>
        <v>-4560</v>
      </c>
      <c r="J1292" s="32">
        <v>46254</v>
      </c>
      <c r="K1292" s="31" t="s">
        <v>1003</v>
      </c>
      <c r="L1292" s="31" t="s">
        <v>382</v>
      </c>
      <c r="M1292" s="44" t="s">
        <v>20</v>
      </c>
      <c r="N1292" s="3">
        <v>46255</v>
      </c>
    </row>
    <row r="1293" spans="1:14">
      <c r="A1293" s="4" t="s">
        <v>1012</v>
      </c>
      <c r="B1293" s="4" t="s">
        <v>1013</v>
      </c>
      <c r="C1293" s="4" t="s">
        <v>89</v>
      </c>
      <c r="D1293" s="4" t="s">
        <v>1015</v>
      </c>
      <c r="E1293" s="3">
        <v>45789</v>
      </c>
      <c r="F1293" s="5">
        <v>0</v>
      </c>
      <c r="G1293" s="5">
        <v>1900</v>
      </c>
      <c r="H1293" s="61">
        <v>0</v>
      </c>
      <c r="I1293" s="6">
        <f t="shared" si="18"/>
        <v>0</v>
      </c>
      <c r="J1293" s="32">
        <v>46254</v>
      </c>
      <c r="K1293" s="31" t="s">
        <v>1003</v>
      </c>
      <c r="L1293" s="31" t="s">
        <v>382</v>
      </c>
      <c r="M1293" s="44" t="s">
        <v>20</v>
      </c>
      <c r="N1293" s="3">
        <v>46255</v>
      </c>
    </row>
    <row r="1294" spans="1:14">
      <c r="A1294" s="4" t="s">
        <v>1012</v>
      </c>
      <c r="B1294" s="4" t="s">
        <v>1013</v>
      </c>
      <c r="C1294" s="4" t="s">
        <v>16</v>
      </c>
      <c r="D1294" s="4" t="s">
        <v>1016</v>
      </c>
      <c r="E1294" s="3">
        <v>45790</v>
      </c>
      <c r="F1294" s="5">
        <v>21280</v>
      </c>
      <c r="G1294" s="5">
        <v>21280</v>
      </c>
      <c r="H1294" s="61">
        <v>0</v>
      </c>
      <c r="I1294" s="6">
        <f t="shared" si="18"/>
        <v>-21280</v>
      </c>
      <c r="J1294" s="32">
        <v>46254</v>
      </c>
      <c r="K1294" s="31" t="s">
        <v>1003</v>
      </c>
      <c r="L1294" s="31" t="s">
        <v>382</v>
      </c>
      <c r="M1294" s="44" t="s">
        <v>20</v>
      </c>
      <c r="N1294" s="3">
        <v>46255</v>
      </c>
    </row>
    <row r="1295" spans="1:14">
      <c r="A1295" s="4" t="s">
        <v>1012</v>
      </c>
      <c r="B1295" s="4" t="s">
        <v>1013</v>
      </c>
      <c r="C1295" s="4" t="s">
        <v>89</v>
      </c>
      <c r="D1295" s="4" t="s">
        <v>1016</v>
      </c>
      <c r="E1295" s="3">
        <v>45790</v>
      </c>
      <c r="F1295" s="5">
        <v>3800</v>
      </c>
      <c r="G1295" s="5">
        <v>1900</v>
      </c>
      <c r="H1295" s="61">
        <v>0</v>
      </c>
      <c r="I1295" s="6">
        <f t="shared" si="18"/>
        <v>-3800</v>
      </c>
      <c r="J1295" s="32">
        <v>46254</v>
      </c>
      <c r="K1295" s="31" t="s">
        <v>1003</v>
      </c>
      <c r="L1295" s="31" t="s">
        <v>382</v>
      </c>
      <c r="M1295" s="44" t="s">
        <v>20</v>
      </c>
      <c r="N1295" s="3">
        <v>46255</v>
      </c>
    </row>
    <row r="1296" spans="1:14">
      <c r="A1296" s="4" t="s">
        <v>1012</v>
      </c>
      <c r="B1296" s="4" t="s">
        <v>1013</v>
      </c>
      <c r="C1296" s="4" t="s">
        <v>89</v>
      </c>
      <c r="D1296" s="4" t="s">
        <v>1017</v>
      </c>
      <c r="E1296" s="3">
        <v>45817</v>
      </c>
      <c r="F1296" s="5">
        <v>1900</v>
      </c>
      <c r="G1296" s="5">
        <v>1900</v>
      </c>
      <c r="H1296" s="61">
        <v>0</v>
      </c>
      <c r="I1296" s="6">
        <f t="shared" si="18"/>
        <v>-1900</v>
      </c>
      <c r="J1296" s="32">
        <v>46254</v>
      </c>
      <c r="K1296" s="31" t="s">
        <v>1003</v>
      </c>
      <c r="L1296" s="31" t="s">
        <v>382</v>
      </c>
      <c r="M1296" s="44" t="s">
        <v>20</v>
      </c>
      <c r="N1296" s="3">
        <v>46255</v>
      </c>
    </row>
    <row r="1297" spans="1:14">
      <c r="A1297" s="4" t="s">
        <v>1012</v>
      </c>
      <c r="B1297" s="4" t="s">
        <v>1013</v>
      </c>
      <c r="C1297" s="4" t="s">
        <v>16</v>
      </c>
      <c r="D1297" s="4" t="s">
        <v>1017</v>
      </c>
      <c r="E1297" s="3">
        <v>45817</v>
      </c>
      <c r="F1297" s="5">
        <v>45980</v>
      </c>
      <c r="G1297" s="5">
        <v>45980</v>
      </c>
      <c r="H1297" s="61">
        <v>760</v>
      </c>
      <c r="I1297" s="6">
        <f t="shared" si="18"/>
        <v>-45220</v>
      </c>
      <c r="J1297" s="32">
        <v>46254</v>
      </c>
      <c r="K1297" s="31" t="s">
        <v>1003</v>
      </c>
      <c r="L1297" s="31" t="s">
        <v>382</v>
      </c>
      <c r="M1297" s="44" t="s">
        <v>20</v>
      </c>
      <c r="N1297" s="3">
        <v>46255</v>
      </c>
    </row>
    <row r="1298" spans="1:14">
      <c r="A1298" s="4" t="s">
        <v>1018</v>
      </c>
      <c r="B1298" s="4" t="s">
        <v>1019</v>
      </c>
      <c r="C1298" s="4" t="s">
        <v>16</v>
      </c>
      <c r="D1298" s="4" t="s">
        <v>1020</v>
      </c>
      <c r="E1298" s="3">
        <v>45891</v>
      </c>
      <c r="F1298" s="5">
        <v>1140</v>
      </c>
      <c r="G1298" s="5">
        <v>1140</v>
      </c>
      <c r="H1298" s="61">
        <v>1140</v>
      </c>
      <c r="I1298" s="6">
        <f t="shared" si="18"/>
        <v>0</v>
      </c>
      <c r="J1298" s="9">
        <v>46253</v>
      </c>
      <c r="K1298" s="11" t="s">
        <v>547</v>
      </c>
      <c r="L1298" s="11" t="s">
        <v>254</v>
      </c>
      <c r="M1298" s="44" t="s">
        <v>20</v>
      </c>
      <c r="N1298" s="3">
        <v>46255</v>
      </c>
    </row>
    <row r="1299" spans="1:14">
      <c r="A1299" s="4" t="s">
        <v>1021</v>
      </c>
      <c r="B1299" s="4" t="s">
        <v>1022</v>
      </c>
      <c r="C1299" s="4" t="s">
        <v>16</v>
      </c>
      <c r="D1299" s="4" t="s">
        <v>500</v>
      </c>
      <c r="E1299" s="3">
        <v>46092</v>
      </c>
      <c r="F1299" s="5">
        <v>380</v>
      </c>
      <c r="G1299" s="5">
        <v>380</v>
      </c>
      <c r="H1299" s="61">
        <v>0</v>
      </c>
      <c r="I1299" s="6">
        <f t="shared" si="18"/>
        <v>-380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>
      <c r="A1300" s="4" t="s">
        <v>1021</v>
      </c>
      <c r="B1300" s="4" t="s">
        <v>1022</v>
      </c>
      <c r="C1300" s="4" t="s">
        <v>16</v>
      </c>
      <c r="D1300" s="4" t="s">
        <v>69</v>
      </c>
      <c r="E1300" s="3">
        <v>46092</v>
      </c>
      <c r="F1300" s="5">
        <v>760</v>
      </c>
      <c r="G1300" s="5">
        <v>760</v>
      </c>
      <c r="H1300" s="61">
        <v>0</v>
      </c>
      <c r="I1300" s="6">
        <f t="shared" si="18"/>
        <v>-760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>
      <c r="A1301" s="4" t="s">
        <v>1023</v>
      </c>
      <c r="B1301" s="4" t="s">
        <v>1024</v>
      </c>
      <c r="C1301" s="4" t="s">
        <v>16</v>
      </c>
      <c r="D1301" s="4" t="s">
        <v>1025</v>
      </c>
      <c r="E1301" s="3">
        <v>45848</v>
      </c>
      <c r="F1301" s="5">
        <v>9120</v>
      </c>
      <c r="G1301" s="5">
        <v>9120</v>
      </c>
      <c r="H1301" s="61">
        <v>380</v>
      </c>
      <c r="I1301" s="6">
        <f t="shared" ref="I1301:I1368" si="21">IF(H1301="","",H1301-F1301)</f>
        <v>-8740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>
      <c r="A1302" s="4" t="s">
        <v>1023</v>
      </c>
      <c r="B1302" s="4" t="s">
        <v>1024</v>
      </c>
      <c r="C1302" s="4" t="s">
        <v>16</v>
      </c>
      <c r="D1302" s="4">
        <v>7312026</v>
      </c>
      <c r="E1302" s="3"/>
      <c r="F1302" s="5">
        <v>0</v>
      </c>
      <c r="G1302" s="5"/>
      <c r="H1302" s="61">
        <v>8740</v>
      </c>
      <c r="I1302" s="6">
        <f t="shared" si="21"/>
        <v>8740</v>
      </c>
      <c r="J1302" s="9">
        <v>46254</v>
      </c>
      <c r="K1302" s="31" t="s">
        <v>908</v>
      </c>
      <c r="L1302" s="31" t="s">
        <v>382</v>
      </c>
      <c r="M1302" s="44" t="s">
        <v>20</v>
      </c>
      <c r="N1302" s="3">
        <v>46255</v>
      </c>
    </row>
    <row r="1303" spans="1:14">
      <c r="A1303" s="4" t="s">
        <v>1026</v>
      </c>
      <c r="B1303" s="4" t="s">
        <v>1027</v>
      </c>
      <c r="C1303" s="4" t="s">
        <v>16</v>
      </c>
      <c r="D1303" s="4" t="s">
        <v>805</v>
      </c>
      <c r="E1303" s="3">
        <v>46033</v>
      </c>
      <c r="F1303" s="5">
        <v>23180</v>
      </c>
      <c r="G1303" s="5">
        <v>23180</v>
      </c>
      <c r="H1303" s="61">
        <v>23180</v>
      </c>
      <c r="I1303" s="6">
        <f t="shared" si="21"/>
        <v>0</v>
      </c>
      <c r="J1303" s="9">
        <v>46254</v>
      </c>
      <c r="K1303" s="31" t="s">
        <v>908</v>
      </c>
      <c r="L1303" s="31" t="s">
        <v>382</v>
      </c>
      <c r="M1303" s="44" t="s">
        <v>20</v>
      </c>
      <c r="N1303" s="3">
        <v>46255</v>
      </c>
    </row>
    <row r="1304" spans="1:14">
      <c r="A1304" s="4" t="s">
        <v>1028</v>
      </c>
      <c r="B1304" s="4" t="s">
        <v>1029</v>
      </c>
      <c r="C1304" s="4" t="s">
        <v>23</v>
      </c>
      <c r="D1304" s="4" t="s">
        <v>21</v>
      </c>
      <c r="E1304" s="3">
        <v>46183</v>
      </c>
      <c r="F1304" s="5">
        <v>68780</v>
      </c>
      <c r="G1304" s="5">
        <v>1900</v>
      </c>
      <c r="H1304" s="61">
        <v>0</v>
      </c>
      <c r="I1304" s="6">
        <f t="shared" si="21"/>
        <v>-68780</v>
      </c>
      <c r="J1304" s="9">
        <v>46254</v>
      </c>
      <c r="K1304" s="31" t="s">
        <v>908</v>
      </c>
      <c r="L1304" s="31" t="s">
        <v>382</v>
      </c>
      <c r="M1304" s="44" t="s">
        <v>909</v>
      </c>
      <c r="N1304" s="4"/>
    </row>
    <row r="1305" spans="1:14">
      <c r="A1305" s="4" t="s">
        <v>1030</v>
      </c>
      <c r="B1305" s="4" t="s">
        <v>903</v>
      </c>
      <c r="C1305" s="4" t="s">
        <v>16</v>
      </c>
      <c r="D1305" s="4" t="s">
        <v>513</v>
      </c>
      <c r="E1305" s="3">
        <v>45957</v>
      </c>
      <c r="F1305" s="5">
        <v>3420</v>
      </c>
      <c r="G1305" s="5">
        <v>3420</v>
      </c>
      <c r="H1305" s="61">
        <v>3420</v>
      </c>
      <c r="I1305" s="6">
        <f t="shared" si="21"/>
        <v>0</v>
      </c>
      <c r="J1305" s="9">
        <v>46254</v>
      </c>
      <c r="K1305" s="31" t="s">
        <v>908</v>
      </c>
      <c r="L1305" s="31" t="s">
        <v>382</v>
      </c>
      <c r="M1305" s="44" t="s">
        <v>20</v>
      </c>
      <c r="N1305" s="4"/>
    </row>
    <row r="1306" spans="1:14">
      <c r="A1306" s="4" t="s">
        <v>1030</v>
      </c>
      <c r="B1306" s="4" t="s">
        <v>903</v>
      </c>
      <c r="C1306" s="4" t="s">
        <v>16</v>
      </c>
      <c r="D1306" s="4" t="s">
        <v>732</v>
      </c>
      <c r="E1306" s="3">
        <v>46038</v>
      </c>
      <c r="F1306" s="5">
        <v>49020</v>
      </c>
      <c r="G1306" s="5">
        <v>49020</v>
      </c>
      <c r="H1306" s="61">
        <v>49020</v>
      </c>
      <c r="I1306" s="6">
        <f t="shared" si="21"/>
        <v>0</v>
      </c>
      <c r="J1306" s="9">
        <v>46254</v>
      </c>
      <c r="K1306" s="31" t="s">
        <v>908</v>
      </c>
      <c r="L1306" s="31" t="s">
        <v>382</v>
      </c>
      <c r="M1306" s="44" t="s">
        <v>20</v>
      </c>
      <c r="N1306" s="4"/>
    </row>
    <row r="1307" spans="1:14">
      <c r="A1307" s="4" t="s">
        <v>1030</v>
      </c>
      <c r="B1307" s="4" t="s">
        <v>903</v>
      </c>
      <c r="C1307" s="4" t="s">
        <v>16</v>
      </c>
      <c r="D1307" s="4" t="s">
        <v>140</v>
      </c>
      <c r="E1307" s="3">
        <v>46057</v>
      </c>
      <c r="F1307" s="5">
        <v>46360</v>
      </c>
      <c r="G1307" s="5">
        <v>46360</v>
      </c>
      <c r="H1307" s="61">
        <v>46360</v>
      </c>
      <c r="I1307" s="6">
        <f t="shared" si="21"/>
        <v>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4"/>
    </row>
    <row r="1308" spans="1:14">
      <c r="A1308" s="4" t="s">
        <v>1031</v>
      </c>
      <c r="B1308" s="4" t="s">
        <v>1032</v>
      </c>
      <c r="C1308" s="4" t="s">
        <v>16</v>
      </c>
      <c r="D1308" s="4" t="s">
        <v>389</v>
      </c>
      <c r="E1308" s="3">
        <v>46040</v>
      </c>
      <c r="F1308" s="5">
        <v>12540</v>
      </c>
      <c r="G1308" s="5">
        <v>12540</v>
      </c>
      <c r="H1308" s="61">
        <v>12540</v>
      </c>
      <c r="I1308" s="6">
        <f t="shared" si="21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4"/>
    </row>
    <row r="1309" spans="1:14">
      <c r="A1309" s="4" t="s">
        <v>1033</v>
      </c>
      <c r="B1309" s="4" t="s">
        <v>1034</v>
      </c>
      <c r="C1309" s="4" t="s">
        <v>16</v>
      </c>
      <c r="D1309" s="4" t="s">
        <v>1035</v>
      </c>
      <c r="E1309" s="3">
        <v>46006</v>
      </c>
      <c r="F1309" s="5">
        <v>790</v>
      </c>
      <c r="G1309" s="5">
        <v>790</v>
      </c>
      <c r="H1309" s="61">
        <v>760</v>
      </c>
      <c r="I1309" s="6">
        <f t="shared" si="21"/>
        <v>-30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>
      <c r="A1310" s="4" t="s">
        <v>1033</v>
      </c>
      <c r="B1310" s="4" t="s">
        <v>1034</v>
      </c>
      <c r="C1310" s="4" t="s">
        <v>16</v>
      </c>
      <c r="D1310" s="4" t="s">
        <v>389</v>
      </c>
      <c r="E1310" s="3">
        <v>46042</v>
      </c>
      <c r="F1310" s="5">
        <v>72200</v>
      </c>
      <c r="G1310" s="5">
        <v>72200</v>
      </c>
      <c r="H1310" s="61">
        <v>72200</v>
      </c>
      <c r="I1310" s="6">
        <f t="shared" si="21"/>
        <v>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>
      <c r="A1311" s="4" t="s">
        <v>1033</v>
      </c>
      <c r="B1311" s="4" t="s">
        <v>1034</v>
      </c>
      <c r="C1311" s="4" t="s">
        <v>16</v>
      </c>
      <c r="D1311" s="4" t="s">
        <v>140</v>
      </c>
      <c r="E1311" s="3">
        <v>46058</v>
      </c>
      <c r="F1311" s="5">
        <v>3420</v>
      </c>
      <c r="G1311" s="5">
        <v>3420</v>
      </c>
      <c r="H1311" s="61">
        <v>6080</v>
      </c>
      <c r="I1311" s="6">
        <f t="shared" si="21"/>
        <v>2660</v>
      </c>
      <c r="J1311" s="9">
        <v>46254</v>
      </c>
      <c r="K1311" s="31" t="s">
        <v>908</v>
      </c>
      <c r="L1311" s="31" t="s">
        <v>382</v>
      </c>
      <c r="M1311" s="44" t="s">
        <v>20</v>
      </c>
      <c r="N1311" s="3">
        <v>46255</v>
      </c>
    </row>
    <row r="1312" spans="1:14">
      <c r="A1312" s="4" t="s">
        <v>1033</v>
      </c>
      <c r="B1312" s="4" t="s">
        <v>1034</v>
      </c>
      <c r="C1312" s="4" t="s">
        <v>16</v>
      </c>
      <c r="D1312" s="4">
        <v>11122026</v>
      </c>
      <c r="E1312" s="3"/>
      <c r="F1312" s="5">
        <v>0</v>
      </c>
      <c r="G1312" s="5"/>
      <c r="H1312" s="61">
        <v>4180</v>
      </c>
      <c r="I1312" s="6">
        <f t="shared" si="21"/>
        <v>4180</v>
      </c>
      <c r="J1312" s="9">
        <v>46254</v>
      </c>
      <c r="K1312" s="31" t="s">
        <v>908</v>
      </c>
      <c r="L1312" s="31" t="s">
        <v>382</v>
      </c>
      <c r="M1312" s="44" t="s">
        <v>20</v>
      </c>
      <c r="N1312" s="3">
        <v>46255</v>
      </c>
    </row>
    <row r="1313" spans="1:14">
      <c r="A1313" s="4" t="s">
        <v>1036</v>
      </c>
      <c r="B1313" s="4" t="s">
        <v>1037</v>
      </c>
      <c r="C1313" s="4" t="s">
        <v>16</v>
      </c>
      <c r="D1313" s="4" t="s">
        <v>924</v>
      </c>
      <c r="E1313" s="3">
        <v>45859</v>
      </c>
      <c r="F1313" s="5">
        <v>45600</v>
      </c>
      <c r="G1313" s="5">
        <v>45600</v>
      </c>
      <c r="H1313" s="61">
        <v>41040</v>
      </c>
      <c r="I1313" s="6">
        <f t="shared" si="21"/>
        <v>-4560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>
      <c r="A1314" s="4" t="s">
        <v>1036</v>
      </c>
      <c r="B1314" s="4" t="s">
        <v>1037</v>
      </c>
      <c r="C1314" s="4" t="s">
        <v>16</v>
      </c>
      <c r="D1314" s="4" t="s">
        <v>1038</v>
      </c>
      <c r="E1314" s="3">
        <v>45859</v>
      </c>
      <c r="F1314" s="5">
        <v>125780</v>
      </c>
      <c r="G1314" s="5">
        <v>125780</v>
      </c>
      <c r="H1314" s="61">
        <v>130340</v>
      </c>
      <c r="I1314" s="6">
        <f t="shared" si="21"/>
        <v>4560</v>
      </c>
      <c r="J1314" s="9">
        <v>46254</v>
      </c>
      <c r="K1314" s="11" t="s">
        <v>18</v>
      </c>
      <c r="L1314" s="11" t="s">
        <v>136</v>
      </c>
      <c r="M1314" s="44" t="s">
        <v>20</v>
      </c>
      <c r="N1314" s="3">
        <v>46255</v>
      </c>
    </row>
    <row r="1315" spans="1:14">
      <c r="A1315" s="4" t="s">
        <v>1039</v>
      </c>
      <c r="B1315" s="4" t="s">
        <v>1040</v>
      </c>
      <c r="C1315" s="4" t="s">
        <v>16</v>
      </c>
      <c r="D1315" s="4" t="s">
        <v>1041</v>
      </c>
      <c r="E1315" s="3">
        <v>45885</v>
      </c>
      <c r="F1315" s="5">
        <v>10640</v>
      </c>
      <c r="G1315" s="5">
        <v>10640</v>
      </c>
      <c r="H1315" s="61">
        <v>10640</v>
      </c>
      <c r="I1315" s="6">
        <f t="shared" si="21"/>
        <v>0</v>
      </c>
      <c r="J1315" s="9">
        <v>46254</v>
      </c>
      <c r="K1315" s="11" t="s">
        <v>18</v>
      </c>
      <c r="L1315" s="11" t="s">
        <v>136</v>
      </c>
      <c r="M1315" s="44" t="s">
        <v>20</v>
      </c>
      <c r="N1315" s="3">
        <v>46255</v>
      </c>
    </row>
    <row r="1316" spans="1:14">
      <c r="A1316" s="4" t="s">
        <v>1042</v>
      </c>
      <c r="B1316" s="4" t="s">
        <v>1043</v>
      </c>
      <c r="C1316" s="4" t="s">
        <v>16</v>
      </c>
      <c r="D1316" s="4" t="s">
        <v>482</v>
      </c>
      <c r="E1316" s="3">
        <v>46078</v>
      </c>
      <c r="F1316" s="5">
        <v>2280</v>
      </c>
      <c r="G1316" s="5">
        <v>2280</v>
      </c>
      <c r="H1316" s="61">
        <v>0</v>
      </c>
      <c r="I1316" s="6">
        <f t="shared" si="21"/>
        <v>-2280</v>
      </c>
      <c r="J1316" s="9"/>
      <c r="K1316" s="11"/>
      <c r="L1316" s="11"/>
      <c r="M1316" s="44" t="s">
        <v>20</v>
      </c>
      <c r="N1316" s="3">
        <v>46274</v>
      </c>
    </row>
    <row r="1317" spans="1:14">
      <c r="A1317" s="4" t="s">
        <v>1044</v>
      </c>
      <c r="B1317" s="4" t="s">
        <v>1045</v>
      </c>
      <c r="C1317" s="4" t="s">
        <v>16</v>
      </c>
      <c r="D1317" s="3">
        <v>46247</v>
      </c>
      <c r="E1317" s="3"/>
      <c r="F1317" s="5">
        <v>2280</v>
      </c>
      <c r="G1317" s="5"/>
      <c r="H1317" s="61">
        <v>2280</v>
      </c>
      <c r="I1317" s="6">
        <v>0</v>
      </c>
      <c r="J1317" s="9">
        <v>46254</v>
      </c>
      <c r="K1317" s="11" t="s">
        <v>18</v>
      </c>
      <c r="L1317" s="11" t="s">
        <v>136</v>
      </c>
      <c r="M1317" s="44" t="s">
        <v>20</v>
      </c>
      <c r="N1317" s="3">
        <v>46274</v>
      </c>
    </row>
    <row r="1318" spans="1:14">
      <c r="A1318" s="4" t="s">
        <v>1044</v>
      </c>
      <c r="B1318" s="4" t="s">
        <v>1045</v>
      </c>
      <c r="C1318" s="4" t="s">
        <v>16</v>
      </c>
      <c r="D1318" s="4" t="s">
        <v>482</v>
      </c>
      <c r="E1318" s="3">
        <v>46078</v>
      </c>
      <c r="F1318" s="5">
        <v>100</v>
      </c>
      <c r="G1318" s="5">
        <v>1620</v>
      </c>
      <c r="H1318" s="61">
        <v>0</v>
      </c>
      <c r="I1318" s="6">
        <f t="shared" si="21"/>
        <v>-100</v>
      </c>
      <c r="J1318" s="9"/>
      <c r="K1318" s="11"/>
      <c r="L1318" s="11"/>
      <c r="M1318" s="44" t="s">
        <v>20</v>
      </c>
      <c r="N1318" s="3">
        <v>46274</v>
      </c>
    </row>
    <row r="1319" spans="1:14">
      <c r="A1319" s="4" t="s">
        <v>1046</v>
      </c>
      <c r="B1319" s="4" t="s">
        <v>1047</v>
      </c>
      <c r="C1319" s="4" t="s">
        <v>16</v>
      </c>
      <c r="D1319" s="4" t="s">
        <v>1041</v>
      </c>
      <c r="E1319" s="3">
        <v>45885</v>
      </c>
      <c r="F1319" s="5">
        <v>4560</v>
      </c>
      <c r="G1319" s="5">
        <v>1900</v>
      </c>
      <c r="H1319" s="61">
        <v>1900</v>
      </c>
      <c r="I1319" s="6">
        <f t="shared" si="21"/>
        <v>-2660</v>
      </c>
      <c r="J1319" s="9">
        <v>46254</v>
      </c>
      <c r="K1319" s="11" t="s">
        <v>18</v>
      </c>
      <c r="L1319" s="11" t="s">
        <v>136</v>
      </c>
      <c r="M1319" s="44" t="s">
        <v>20</v>
      </c>
      <c r="N1319" s="3">
        <v>46275</v>
      </c>
    </row>
    <row r="1320" spans="1:14">
      <c r="A1320" s="4" t="s">
        <v>1048</v>
      </c>
      <c r="B1320" s="4" t="s">
        <v>1049</v>
      </c>
      <c r="C1320" s="4" t="s">
        <v>16</v>
      </c>
      <c r="D1320" s="4" t="s">
        <v>1050</v>
      </c>
      <c r="E1320" s="3">
        <v>45885</v>
      </c>
      <c r="F1320" s="5">
        <v>7980</v>
      </c>
      <c r="G1320" s="5">
        <v>7980</v>
      </c>
      <c r="H1320" s="61">
        <v>7980</v>
      </c>
      <c r="I1320" s="6">
        <f t="shared" si="21"/>
        <v>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>
      <c r="A1321" s="4" t="s">
        <v>1051</v>
      </c>
      <c r="B1321" s="4" t="s">
        <v>1052</v>
      </c>
      <c r="C1321" s="4" t="s">
        <v>23</v>
      </c>
      <c r="D1321" s="4" t="s">
        <v>1050</v>
      </c>
      <c r="E1321" s="3">
        <v>45885</v>
      </c>
      <c r="F1321" s="5">
        <v>6840</v>
      </c>
      <c r="G1321" s="5">
        <v>6840</v>
      </c>
      <c r="H1321" s="61">
        <v>0</v>
      </c>
      <c r="I1321" s="6">
        <f t="shared" si="21"/>
        <v>-6840</v>
      </c>
      <c r="J1321" s="9"/>
      <c r="K1321" s="11"/>
      <c r="L1321" s="11"/>
      <c r="M1321" s="44" t="s">
        <v>20</v>
      </c>
      <c r="N1321" s="3">
        <v>46275</v>
      </c>
    </row>
    <row r="1322" spans="1:14">
      <c r="A1322" s="4" t="s">
        <v>1051</v>
      </c>
      <c r="B1322" s="4" t="s">
        <v>1052</v>
      </c>
      <c r="C1322" s="4" t="s">
        <v>16</v>
      </c>
      <c r="D1322" s="4" t="s">
        <v>1050</v>
      </c>
      <c r="E1322" s="3">
        <v>45885</v>
      </c>
      <c r="F1322" s="5">
        <v>2660</v>
      </c>
      <c r="G1322" s="5">
        <v>2660</v>
      </c>
      <c r="H1322" s="61">
        <v>9500</v>
      </c>
      <c r="I1322" s="6">
        <f t="shared" si="21"/>
        <v>6840</v>
      </c>
      <c r="J1322" s="9">
        <v>46254</v>
      </c>
      <c r="K1322" s="11" t="s">
        <v>18</v>
      </c>
      <c r="L1322" s="11" t="s">
        <v>136</v>
      </c>
      <c r="M1322" s="44" t="s">
        <v>20</v>
      </c>
      <c r="N1322" s="3">
        <v>46259</v>
      </c>
    </row>
    <row r="1323" spans="1:14">
      <c r="A1323" s="4" t="s">
        <v>1053</v>
      </c>
      <c r="B1323" s="4" t="s">
        <v>1054</v>
      </c>
      <c r="C1323" s="4" t="s">
        <v>23</v>
      </c>
      <c r="D1323" s="4" t="s">
        <v>392</v>
      </c>
      <c r="E1323" s="3">
        <v>46028</v>
      </c>
      <c r="F1323" s="5">
        <v>760</v>
      </c>
      <c r="G1323" s="5">
        <v>760</v>
      </c>
      <c r="H1323" s="61">
        <v>0</v>
      </c>
      <c r="I1323" s="6">
        <f t="shared" si="21"/>
        <v>-760</v>
      </c>
      <c r="J1323" s="9"/>
      <c r="K1323" s="11"/>
      <c r="L1323" s="11"/>
      <c r="M1323" s="44" t="s">
        <v>20</v>
      </c>
      <c r="N1323" s="3">
        <v>46275</v>
      </c>
    </row>
    <row r="1324" spans="1:14">
      <c r="A1324" s="4" t="s">
        <v>1053</v>
      </c>
      <c r="B1324" s="4" t="s">
        <v>1054</v>
      </c>
      <c r="C1324" s="4" t="s">
        <v>23</v>
      </c>
      <c r="D1324" s="4" t="s">
        <v>885</v>
      </c>
      <c r="E1324" s="3">
        <v>46044</v>
      </c>
      <c r="F1324" s="5">
        <v>2660</v>
      </c>
      <c r="G1324" s="5">
        <v>2660</v>
      </c>
      <c r="H1324" s="61">
        <v>0</v>
      </c>
      <c r="I1324" s="6">
        <f t="shared" si="21"/>
        <v>-2660</v>
      </c>
      <c r="J1324" s="9"/>
      <c r="K1324" s="11"/>
      <c r="L1324" s="11"/>
      <c r="M1324" s="44" t="s">
        <v>20</v>
      </c>
      <c r="N1324" s="3">
        <v>46275</v>
      </c>
    </row>
    <row r="1325" spans="1:14">
      <c r="A1325" s="4" t="s">
        <v>1055</v>
      </c>
      <c r="B1325" s="4" t="s">
        <v>1056</v>
      </c>
      <c r="C1325" s="4" t="s">
        <v>16</v>
      </c>
      <c r="D1325" s="4" t="s">
        <v>52</v>
      </c>
      <c r="E1325" s="3">
        <v>46056</v>
      </c>
      <c r="F1325" s="5">
        <v>5320</v>
      </c>
      <c r="G1325" s="5">
        <v>5320</v>
      </c>
      <c r="H1325" s="61">
        <v>5320</v>
      </c>
      <c r="I1325" s="6">
        <f t="shared" si="21"/>
        <v>0</v>
      </c>
      <c r="J1325" s="9">
        <v>46254</v>
      </c>
      <c r="K1325" s="11" t="s">
        <v>18</v>
      </c>
      <c r="L1325" s="11" t="s">
        <v>136</v>
      </c>
      <c r="M1325" s="44" t="s">
        <v>20</v>
      </c>
      <c r="N1325" s="4"/>
    </row>
    <row r="1326" spans="1:14">
      <c r="A1326" s="4" t="s">
        <v>1055</v>
      </c>
      <c r="B1326" s="4" t="s">
        <v>1056</v>
      </c>
      <c r="C1326" s="4" t="s">
        <v>16</v>
      </c>
      <c r="D1326" s="4">
        <v>1282026</v>
      </c>
      <c r="E1326" s="3"/>
      <c r="F1326" s="5">
        <v>1140</v>
      </c>
      <c r="G1326" s="5"/>
      <c r="H1326" s="61">
        <v>1140</v>
      </c>
      <c r="I1326" s="6">
        <v>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>
      <c r="A1327" s="4" t="s">
        <v>1055</v>
      </c>
      <c r="B1327" s="4" t="s">
        <v>1056</v>
      </c>
      <c r="C1327" s="4" t="s">
        <v>16</v>
      </c>
      <c r="D1327" s="4" t="s">
        <v>806</v>
      </c>
      <c r="E1327" s="3">
        <v>46070</v>
      </c>
      <c r="F1327" s="5">
        <v>38760</v>
      </c>
      <c r="G1327" s="5">
        <v>38760</v>
      </c>
      <c r="H1327" s="61">
        <v>38760</v>
      </c>
      <c r="I1327" s="6">
        <f t="shared" si="21"/>
        <v>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>
      <c r="A1328" s="4" t="s">
        <v>1057</v>
      </c>
      <c r="B1328" s="4" t="s">
        <v>1058</v>
      </c>
      <c r="C1328" s="4" t="s">
        <v>16</v>
      </c>
      <c r="D1328" s="4" t="s">
        <v>1050</v>
      </c>
      <c r="E1328" s="3">
        <v>45885</v>
      </c>
      <c r="F1328" s="5">
        <v>2280</v>
      </c>
      <c r="G1328" s="5">
        <v>2280</v>
      </c>
      <c r="H1328" s="61">
        <v>4940</v>
      </c>
      <c r="I1328" s="6">
        <f t="shared" si="21"/>
        <v>2660</v>
      </c>
      <c r="J1328" s="9">
        <v>46254</v>
      </c>
      <c r="K1328" s="11" t="s">
        <v>18</v>
      </c>
      <c r="L1328" s="11" t="s">
        <v>136</v>
      </c>
      <c r="M1328" s="44" t="s">
        <v>20</v>
      </c>
      <c r="N1328" s="4"/>
    </row>
    <row r="1329" spans="1:14">
      <c r="A1329" s="4" t="s">
        <v>1057</v>
      </c>
      <c r="B1329" s="4" t="s">
        <v>1058</v>
      </c>
      <c r="C1329" s="4" t="s">
        <v>16</v>
      </c>
      <c r="D1329" s="4" t="s">
        <v>389</v>
      </c>
      <c r="E1329" s="3">
        <v>46043</v>
      </c>
      <c r="F1329" s="5">
        <v>9120</v>
      </c>
      <c r="G1329" s="5">
        <v>9120</v>
      </c>
      <c r="H1329" s="61">
        <v>4560</v>
      </c>
      <c r="I1329" s="6">
        <f t="shared" si="21"/>
        <v>-4560</v>
      </c>
      <c r="J1329" s="9">
        <v>46254</v>
      </c>
      <c r="K1329" s="11" t="s">
        <v>18</v>
      </c>
      <c r="L1329" s="11" t="s">
        <v>136</v>
      </c>
      <c r="M1329" s="44" t="s">
        <v>20</v>
      </c>
      <c r="N1329" s="4"/>
    </row>
    <row r="1330" spans="1:14">
      <c r="A1330" s="4" t="s">
        <v>1057</v>
      </c>
      <c r="B1330" s="4" t="s">
        <v>1058</v>
      </c>
      <c r="C1330" s="4" t="s">
        <v>16</v>
      </c>
      <c r="D1330" s="4" t="s">
        <v>1059</v>
      </c>
      <c r="E1330" s="3">
        <v>46043</v>
      </c>
      <c r="F1330" s="5">
        <v>6840</v>
      </c>
      <c r="G1330" s="5">
        <v>6840</v>
      </c>
      <c r="H1330" s="61">
        <v>6840</v>
      </c>
      <c r="I1330" s="6">
        <f t="shared" si="21"/>
        <v>0</v>
      </c>
      <c r="J1330" s="9">
        <v>46254</v>
      </c>
      <c r="K1330" s="11" t="s">
        <v>18</v>
      </c>
      <c r="L1330" s="11" t="s">
        <v>136</v>
      </c>
      <c r="M1330" s="44" t="s">
        <v>20</v>
      </c>
      <c r="N1330" s="4"/>
    </row>
    <row r="1331" spans="1:14">
      <c r="A1331" s="4" t="s">
        <v>1060</v>
      </c>
      <c r="B1331" s="4" t="s">
        <v>1061</v>
      </c>
      <c r="C1331" s="4" t="s">
        <v>25</v>
      </c>
      <c r="D1331" s="4" t="s">
        <v>410</v>
      </c>
      <c r="E1331" s="3">
        <v>46125</v>
      </c>
      <c r="F1331" s="5">
        <v>18240</v>
      </c>
      <c r="G1331" s="5">
        <v>18240</v>
      </c>
      <c r="H1331" s="61">
        <v>0</v>
      </c>
      <c r="I1331" s="6">
        <f t="shared" si="21"/>
        <v>-18240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>
      <c r="A1332" s="4" t="s">
        <v>1060</v>
      </c>
      <c r="B1332" s="4" t="s">
        <v>1061</v>
      </c>
      <c r="C1332" s="4" t="s">
        <v>89</v>
      </c>
      <c r="D1332" s="4" t="s">
        <v>113</v>
      </c>
      <c r="E1332" s="3">
        <v>46148</v>
      </c>
      <c r="F1332" s="5">
        <v>0</v>
      </c>
      <c r="G1332" s="5">
        <v>1900</v>
      </c>
      <c r="H1332" s="61">
        <v>0</v>
      </c>
      <c r="I1332" s="6">
        <f t="shared" si="21"/>
        <v>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>
      <c r="A1333" s="4" t="s">
        <v>1060</v>
      </c>
      <c r="B1333" s="4" t="s">
        <v>1061</v>
      </c>
      <c r="C1333" s="4" t="s">
        <v>16</v>
      </c>
      <c r="D1333" s="4" t="s">
        <v>99</v>
      </c>
      <c r="E1333" s="3">
        <v>46192</v>
      </c>
      <c r="F1333" s="5">
        <v>48260</v>
      </c>
      <c r="G1333" s="5">
        <v>48260</v>
      </c>
      <c r="H1333" s="61">
        <v>48642</v>
      </c>
      <c r="I1333" s="6">
        <f t="shared" si="21"/>
        <v>382</v>
      </c>
      <c r="J1333" s="9">
        <v>46242</v>
      </c>
      <c r="K1333" s="31" t="s">
        <v>159</v>
      </c>
      <c r="L1333" s="31" t="s">
        <v>382</v>
      </c>
      <c r="M1333" s="44" t="s">
        <v>20</v>
      </c>
      <c r="N1333" s="4"/>
    </row>
    <row r="1334" spans="1:14">
      <c r="A1334" s="4" t="s">
        <v>1060</v>
      </c>
      <c r="B1334" s="4" t="s">
        <v>1061</v>
      </c>
      <c r="C1334" s="4" t="s">
        <v>16</v>
      </c>
      <c r="D1334" s="4" t="s">
        <v>113</v>
      </c>
      <c r="E1334" s="3">
        <v>46212</v>
      </c>
      <c r="F1334" s="5">
        <v>-1140</v>
      </c>
      <c r="G1334" s="5">
        <v>380</v>
      </c>
      <c r="H1334" s="61">
        <v>0</v>
      </c>
      <c r="I1334" s="6">
        <f t="shared" si="21"/>
        <v>1140</v>
      </c>
      <c r="J1334" s="9">
        <v>46242</v>
      </c>
      <c r="K1334" s="31" t="s">
        <v>159</v>
      </c>
      <c r="L1334" s="31" t="s">
        <v>382</v>
      </c>
      <c r="M1334" s="44" t="s">
        <v>20</v>
      </c>
      <c r="N1334" s="4"/>
    </row>
    <row r="1335" spans="1:14">
      <c r="A1335" s="4" t="s">
        <v>1060</v>
      </c>
      <c r="B1335" s="4" t="s">
        <v>1061</v>
      </c>
      <c r="C1335" s="4" t="s">
        <v>16</v>
      </c>
      <c r="D1335" s="4" t="s">
        <v>302</v>
      </c>
      <c r="E1335" s="3">
        <v>46240</v>
      </c>
      <c r="F1335" s="5">
        <v>161500</v>
      </c>
      <c r="G1335" s="5">
        <v>161500</v>
      </c>
      <c r="H1335" s="61">
        <v>5700</v>
      </c>
      <c r="I1335" s="6">
        <f t="shared" si="21"/>
        <v>-155800</v>
      </c>
      <c r="J1335" s="9">
        <v>46242</v>
      </c>
      <c r="K1335" s="31" t="s">
        <v>159</v>
      </c>
      <c r="L1335" s="31" t="s">
        <v>382</v>
      </c>
      <c r="M1335" s="44" t="s">
        <v>909</v>
      </c>
      <c r="N1335" s="4" t="s">
        <v>1062</v>
      </c>
    </row>
    <row r="1336" spans="1:14">
      <c r="A1336" s="4" t="s">
        <v>1060</v>
      </c>
      <c r="B1336" s="4" t="s">
        <v>1061</v>
      </c>
      <c r="C1336" s="4" t="s">
        <v>16</v>
      </c>
      <c r="D1336" s="4" t="s">
        <v>150</v>
      </c>
      <c r="E1336" s="3">
        <v>46241</v>
      </c>
      <c r="F1336" s="5">
        <v>47500</v>
      </c>
      <c r="G1336" s="5">
        <v>47500</v>
      </c>
      <c r="H1336" s="61">
        <v>39000</v>
      </c>
      <c r="I1336" s="6">
        <f t="shared" si="21"/>
        <v>-8500</v>
      </c>
      <c r="J1336" s="9">
        <v>46242</v>
      </c>
      <c r="K1336" s="31" t="s">
        <v>159</v>
      </c>
      <c r="L1336" s="31" t="s">
        <v>382</v>
      </c>
      <c r="M1336" s="44" t="s">
        <v>909</v>
      </c>
      <c r="N1336" s="4" t="s">
        <v>1062</v>
      </c>
    </row>
    <row r="1337" spans="1:14">
      <c r="A1337" s="4" t="s">
        <v>1063</v>
      </c>
      <c r="B1337" s="4" t="s">
        <v>1064</v>
      </c>
      <c r="C1337" s="4" t="s">
        <v>16</v>
      </c>
      <c r="D1337" s="3">
        <v>46243</v>
      </c>
      <c r="E1337" s="3"/>
      <c r="F1337" s="5">
        <v>29640</v>
      </c>
      <c r="G1337" s="5"/>
      <c r="H1337" s="61">
        <v>29640</v>
      </c>
      <c r="I1337" s="6">
        <v>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4"/>
    </row>
    <row r="1338" spans="1:14">
      <c r="A1338" s="4" t="s">
        <v>1063</v>
      </c>
      <c r="B1338" s="4" t="s">
        <v>1064</v>
      </c>
      <c r="C1338" s="4" t="s">
        <v>16</v>
      </c>
      <c r="D1338" s="3">
        <v>46250</v>
      </c>
      <c r="E1338" s="3"/>
      <c r="F1338" s="5">
        <v>22800</v>
      </c>
      <c r="G1338" s="5"/>
      <c r="H1338" s="61">
        <v>22800</v>
      </c>
      <c r="I1338" s="6">
        <v>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4"/>
    </row>
    <row r="1339" spans="1:14">
      <c r="A1339" s="4" t="s">
        <v>1063</v>
      </c>
      <c r="B1339" s="4" t="s">
        <v>1064</v>
      </c>
      <c r="C1339" s="4" t="s">
        <v>25</v>
      </c>
      <c r="D1339" s="4" t="s">
        <v>495</v>
      </c>
      <c r="E1339" s="3">
        <v>46145</v>
      </c>
      <c r="F1339" s="5">
        <v>5320</v>
      </c>
      <c r="G1339" s="5">
        <v>4940</v>
      </c>
      <c r="H1339" s="61">
        <v>0</v>
      </c>
      <c r="I1339" s="6">
        <f t="shared" si="21"/>
        <v>-5320</v>
      </c>
      <c r="J1339" s="9">
        <v>46254</v>
      </c>
      <c r="K1339" s="11" t="s">
        <v>18</v>
      </c>
      <c r="L1339" s="11" t="s">
        <v>136</v>
      </c>
      <c r="M1339" s="119" t="s">
        <v>20</v>
      </c>
      <c r="N1339" s="3">
        <v>46272</v>
      </c>
    </row>
    <row r="1340" spans="1:14">
      <c r="A1340" s="4" t="s">
        <v>1063</v>
      </c>
      <c r="B1340" s="4" t="s">
        <v>1064</v>
      </c>
      <c r="C1340" s="4" t="s">
        <v>16</v>
      </c>
      <c r="D1340" s="4" t="s">
        <v>99</v>
      </c>
      <c r="E1340" s="3">
        <v>46192</v>
      </c>
      <c r="F1340" s="5">
        <v>4180</v>
      </c>
      <c r="G1340" s="5">
        <v>13680</v>
      </c>
      <c r="H1340" s="61">
        <v>1900</v>
      </c>
      <c r="I1340" s="6">
        <f t="shared" si="21"/>
        <v>-2280</v>
      </c>
      <c r="J1340" s="9">
        <v>46254</v>
      </c>
      <c r="K1340" s="11" t="s">
        <v>18</v>
      </c>
      <c r="L1340" s="11" t="s">
        <v>136</v>
      </c>
      <c r="M1340" s="119" t="s">
        <v>20</v>
      </c>
      <c r="N1340" s="3">
        <v>46272</v>
      </c>
    </row>
    <row r="1341" spans="1:14">
      <c r="A1341" s="4" t="s">
        <v>1063</v>
      </c>
      <c r="B1341" s="4" t="s">
        <v>1064</v>
      </c>
      <c r="C1341" s="4" t="s">
        <v>25</v>
      </c>
      <c r="D1341" s="4" t="s">
        <v>99</v>
      </c>
      <c r="E1341" s="3">
        <v>46192</v>
      </c>
      <c r="F1341" s="5">
        <v>34960</v>
      </c>
      <c r="G1341" s="5">
        <v>27360</v>
      </c>
      <c r="H1341" s="61"/>
      <c r="I1341" s="6"/>
      <c r="J1341" s="9"/>
      <c r="K1341" s="11"/>
      <c r="L1341" s="11"/>
      <c r="M1341" s="44"/>
      <c r="N1341" s="4"/>
    </row>
    <row r="1342" spans="1:14">
      <c r="A1342" s="4" t="s">
        <v>1063</v>
      </c>
      <c r="B1342" s="4" t="s">
        <v>1064</v>
      </c>
      <c r="C1342" s="4" t="s">
        <v>16</v>
      </c>
      <c r="D1342" s="4" t="s">
        <v>495</v>
      </c>
      <c r="E1342" s="3">
        <v>46202</v>
      </c>
      <c r="F1342" s="5">
        <v>760</v>
      </c>
      <c r="G1342" s="5">
        <v>760</v>
      </c>
      <c r="H1342" s="61">
        <v>0</v>
      </c>
      <c r="I1342" s="6">
        <f t="shared" si="21"/>
        <v>-760</v>
      </c>
      <c r="J1342" s="9">
        <v>46254</v>
      </c>
      <c r="K1342" s="11"/>
      <c r="L1342" s="11"/>
      <c r="M1342" s="119" t="s">
        <v>20</v>
      </c>
      <c r="N1342" s="3">
        <v>46272</v>
      </c>
    </row>
    <row r="1343" spans="1:14">
      <c r="A1343" s="4" t="s">
        <v>1063</v>
      </c>
      <c r="B1343" s="4" t="s">
        <v>1064</v>
      </c>
      <c r="C1343" s="4" t="s">
        <v>16</v>
      </c>
      <c r="D1343" s="4" t="s">
        <v>1065</v>
      </c>
      <c r="E1343" s="3">
        <v>46224</v>
      </c>
      <c r="F1343" s="5">
        <v>77140</v>
      </c>
      <c r="G1343" s="5">
        <v>77140</v>
      </c>
      <c r="H1343" s="61">
        <v>48640</v>
      </c>
      <c r="I1343" s="6">
        <f t="shared" si="21"/>
        <v>-28500</v>
      </c>
      <c r="J1343" s="9">
        <v>46254</v>
      </c>
      <c r="K1343" s="11" t="s">
        <v>18</v>
      </c>
      <c r="L1343" s="11" t="s">
        <v>136</v>
      </c>
      <c r="M1343" s="44" t="s">
        <v>20</v>
      </c>
      <c r="N1343" s="4"/>
    </row>
    <row r="1344" spans="1:14">
      <c r="A1344" s="4" t="s">
        <v>1066</v>
      </c>
      <c r="B1344" s="4" t="s">
        <v>1067</v>
      </c>
      <c r="C1344" s="4" t="s">
        <v>23</v>
      </c>
      <c r="D1344" s="4" t="s">
        <v>71</v>
      </c>
      <c r="E1344" s="3">
        <v>46094</v>
      </c>
      <c r="F1344" s="5">
        <v>21280</v>
      </c>
      <c r="G1344" s="5">
        <v>19000</v>
      </c>
      <c r="H1344" s="61">
        <v>0</v>
      </c>
      <c r="I1344" s="6">
        <f t="shared" si="21"/>
        <v>-21280</v>
      </c>
      <c r="J1344" s="9">
        <v>46255</v>
      </c>
      <c r="K1344" s="31" t="s">
        <v>1003</v>
      </c>
      <c r="L1344" s="31" t="s">
        <v>382</v>
      </c>
      <c r="M1344" s="44" t="s">
        <v>20</v>
      </c>
      <c r="N1344" s="4"/>
    </row>
    <row r="1345" spans="1:14">
      <c r="A1345" s="4" t="s">
        <v>1066</v>
      </c>
      <c r="B1345" s="4" t="s">
        <v>1067</v>
      </c>
      <c r="C1345" s="4" t="s">
        <v>23</v>
      </c>
      <c r="D1345" s="4" t="s">
        <v>46</v>
      </c>
      <c r="E1345" s="3">
        <v>46172</v>
      </c>
      <c r="F1345" s="5">
        <v>33713.199999999997</v>
      </c>
      <c r="G1345" s="5">
        <v>16384.359999999997</v>
      </c>
      <c r="H1345" s="61">
        <v>760</v>
      </c>
      <c r="I1345" s="6">
        <f t="shared" si="21"/>
        <v>-32953.199999999997</v>
      </c>
      <c r="J1345" s="9">
        <v>46255</v>
      </c>
      <c r="K1345" s="31" t="s">
        <v>1003</v>
      </c>
      <c r="L1345" s="31" t="s">
        <v>382</v>
      </c>
      <c r="M1345" s="44" t="s">
        <v>909</v>
      </c>
      <c r="N1345" s="4"/>
    </row>
    <row r="1346" spans="1:14">
      <c r="A1346" s="4" t="s">
        <v>1066</v>
      </c>
      <c r="B1346" s="4" t="s">
        <v>1067</v>
      </c>
      <c r="C1346" s="4" t="s">
        <v>16</v>
      </c>
      <c r="D1346" s="4" t="s">
        <v>131</v>
      </c>
      <c r="E1346" s="3">
        <v>46236</v>
      </c>
      <c r="F1346" s="5">
        <v>173280</v>
      </c>
      <c r="G1346" s="5">
        <v>173280</v>
      </c>
      <c r="H1346" s="61">
        <v>173280</v>
      </c>
      <c r="I1346" s="6">
        <f t="shared" si="21"/>
        <v>0</v>
      </c>
      <c r="J1346" s="9">
        <v>46255</v>
      </c>
      <c r="K1346" s="31" t="s">
        <v>1003</v>
      </c>
      <c r="L1346" s="31" t="s">
        <v>382</v>
      </c>
      <c r="M1346" s="44"/>
      <c r="N1346" s="4"/>
    </row>
    <row r="1347" spans="1:14">
      <c r="A1347" s="4" t="s">
        <v>1068</v>
      </c>
      <c r="B1347" s="4" t="s">
        <v>1069</v>
      </c>
      <c r="C1347" s="4" t="s">
        <v>23</v>
      </c>
      <c r="D1347" s="4" t="s">
        <v>1070</v>
      </c>
      <c r="E1347" s="3">
        <v>46065</v>
      </c>
      <c r="F1347" s="5">
        <v>380</v>
      </c>
      <c r="G1347" s="5">
        <v>1140</v>
      </c>
      <c r="H1347" s="61"/>
      <c r="I1347" s="6" t="str">
        <f t="shared" si="21"/>
        <v/>
      </c>
      <c r="J1347" s="9"/>
      <c r="K1347" s="11"/>
      <c r="L1347" s="11"/>
      <c r="M1347" s="44"/>
      <c r="N1347" s="4"/>
    </row>
    <row r="1348" spans="1:14">
      <c r="A1348" s="4" t="s">
        <v>1068</v>
      </c>
      <c r="B1348" s="4" t="s">
        <v>1069</v>
      </c>
      <c r="C1348" s="4" t="s">
        <v>16</v>
      </c>
      <c r="D1348" s="4" t="s">
        <v>46</v>
      </c>
      <c r="E1348" s="3">
        <v>46172</v>
      </c>
      <c r="F1348" s="5">
        <v>11244</v>
      </c>
      <c r="G1348" s="5">
        <v>11244</v>
      </c>
      <c r="H1348" s="61">
        <v>1140</v>
      </c>
      <c r="I1348" s="6">
        <f t="shared" si="21"/>
        <v>-10104</v>
      </c>
      <c r="J1348" s="9">
        <v>46254</v>
      </c>
      <c r="K1348" s="11" t="s">
        <v>18</v>
      </c>
      <c r="L1348" s="11" t="s">
        <v>136</v>
      </c>
      <c r="M1348" s="44" t="s">
        <v>909</v>
      </c>
      <c r="N1348" s="4"/>
    </row>
    <row r="1349" spans="1:14">
      <c r="A1349" s="4" t="s">
        <v>1068</v>
      </c>
      <c r="B1349" s="4" t="s">
        <v>1069</v>
      </c>
      <c r="C1349" s="4" t="s">
        <v>16</v>
      </c>
      <c r="D1349" s="4" t="s">
        <v>92</v>
      </c>
      <c r="E1349" s="3">
        <v>46228</v>
      </c>
      <c r="F1349" s="5">
        <v>1400</v>
      </c>
      <c r="G1349" s="5">
        <v>1400</v>
      </c>
      <c r="H1349" s="61">
        <v>0</v>
      </c>
      <c r="I1349" s="6">
        <f t="shared" si="21"/>
        <v>-1400</v>
      </c>
      <c r="J1349" s="9"/>
      <c r="K1349" s="11"/>
      <c r="L1349" s="11"/>
      <c r="M1349" s="44" t="s">
        <v>20</v>
      </c>
      <c r="N1349" s="4"/>
    </row>
    <row r="1350" spans="1:14">
      <c r="A1350" s="4" t="s">
        <v>1068</v>
      </c>
      <c r="B1350" s="4" t="s">
        <v>1069</v>
      </c>
      <c r="C1350" s="4" t="s">
        <v>16</v>
      </c>
      <c r="D1350" s="4" t="s">
        <v>38</v>
      </c>
      <c r="E1350" s="3">
        <v>46228</v>
      </c>
      <c r="F1350" s="5">
        <v>3040</v>
      </c>
      <c r="G1350" s="5">
        <v>3040</v>
      </c>
      <c r="H1350" s="61">
        <v>3040</v>
      </c>
      <c r="I1350" s="6">
        <f t="shared" si="21"/>
        <v>0</v>
      </c>
      <c r="J1350" s="9">
        <v>46254</v>
      </c>
      <c r="K1350" s="11" t="s">
        <v>18</v>
      </c>
      <c r="L1350" s="11" t="s">
        <v>136</v>
      </c>
      <c r="M1350" s="119" t="s">
        <v>20</v>
      </c>
      <c r="N1350" s="4"/>
    </row>
    <row r="1351" spans="1:14">
      <c r="A1351" s="4" t="s">
        <v>1071</v>
      </c>
      <c r="B1351" s="4" t="s">
        <v>1072</v>
      </c>
      <c r="C1351" s="4" t="s">
        <v>16</v>
      </c>
      <c r="D1351" s="4" t="s">
        <v>1073</v>
      </c>
      <c r="E1351" s="3">
        <v>45977</v>
      </c>
      <c r="F1351" s="5">
        <v>2280</v>
      </c>
      <c r="G1351" s="5">
        <v>380</v>
      </c>
      <c r="H1351" s="61">
        <v>0</v>
      </c>
      <c r="I1351" s="6">
        <f t="shared" si="21"/>
        <v>-2280</v>
      </c>
      <c r="J1351" s="9">
        <v>46255</v>
      </c>
      <c r="K1351" s="31" t="s">
        <v>1003</v>
      </c>
      <c r="L1351" s="31" t="s">
        <v>382</v>
      </c>
      <c r="M1351" s="44" t="s">
        <v>20</v>
      </c>
      <c r="N1351" s="3">
        <v>46256</v>
      </c>
    </row>
    <row r="1352" spans="1:14">
      <c r="A1352" s="4" t="s">
        <v>1071</v>
      </c>
      <c r="B1352" s="4" t="s">
        <v>1072</v>
      </c>
      <c r="C1352" s="4" t="s">
        <v>89</v>
      </c>
      <c r="D1352" s="4" t="s">
        <v>400</v>
      </c>
      <c r="E1352" s="3">
        <v>46019</v>
      </c>
      <c r="F1352" s="5">
        <v>760</v>
      </c>
      <c r="G1352" s="5">
        <v>760</v>
      </c>
      <c r="H1352" s="61">
        <v>0</v>
      </c>
      <c r="I1352" s="6">
        <f t="shared" si="21"/>
        <v>-760</v>
      </c>
      <c r="J1352" s="9">
        <v>46255</v>
      </c>
      <c r="K1352" s="31" t="s">
        <v>1003</v>
      </c>
      <c r="L1352" s="31" t="s">
        <v>382</v>
      </c>
      <c r="M1352" s="119" t="s">
        <v>20</v>
      </c>
      <c r="N1352" s="3">
        <v>46256</v>
      </c>
    </row>
    <row r="1353" spans="1:14">
      <c r="A1353" s="4" t="s">
        <v>1071</v>
      </c>
      <c r="B1353" s="4" t="s">
        <v>1072</v>
      </c>
      <c r="C1353" s="4" t="s">
        <v>16</v>
      </c>
      <c r="D1353" s="4" t="s">
        <v>400</v>
      </c>
      <c r="E1353" s="3">
        <v>46019</v>
      </c>
      <c r="F1353" s="5">
        <v>380</v>
      </c>
      <c r="G1353" s="5">
        <v>380</v>
      </c>
      <c r="H1353" s="61">
        <v>0</v>
      </c>
      <c r="I1353" s="6">
        <f t="shared" si="21"/>
        <v>-380</v>
      </c>
      <c r="J1353" s="9">
        <v>46255</v>
      </c>
      <c r="K1353" s="31" t="s">
        <v>1003</v>
      </c>
      <c r="L1353" s="31" t="s">
        <v>382</v>
      </c>
      <c r="M1353" s="44" t="s">
        <v>20</v>
      </c>
      <c r="N1353" s="3">
        <v>46256</v>
      </c>
    </row>
    <row r="1354" spans="1:14">
      <c r="A1354" s="4" t="s">
        <v>1071</v>
      </c>
      <c r="B1354" s="4" t="s">
        <v>1072</v>
      </c>
      <c r="C1354" s="4" t="s">
        <v>89</v>
      </c>
      <c r="D1354" s="4" t="s">
        <v>308</v>
      </c>
      <c r="E1354" s="3">
        <v>46078</v>
      </c>
      <c r="F1354" s="5">
        <v>-380</v>
      </c>
      <c r="G1354" s="5">
        <v>380</v>
      </c>
      <c r="H1354" s="61">
        <v>0</v>
      </c>
      <c r="I1354" s="6">
        <f t="shared" si="21"/>
        <v>380</v>
      </c>
      <c r="J1354" s="9">
        <v>46255</v>
      </c>
      <c r="K1354" s="31" t="s">
        <v>1003</v>
      </c>
      <c r="L1354" s="31" t="s">
        <v>382</v>
      </c>
      <c r="M1354" s="119" t="s">
        <v>20</v>
      </c>
      <c r="N1354" s="3">
        <v>46272</v>
      </c>
    </row>
    <row r="1355" spans="1:14">
      <c r="A1355" s="4" t="s">
        <v>1071</v>
      </c>
      <c r="B1355" s="4" t="s">
        <v>1072</v>
      </c>
      <c r="C1355" s="4" t="s">
        <v>16</v>
      </c>
      <c r="D1355" s="4" t="s">
        <v>308</v>
      </c>
      <c r="E1355" s="3">
        <v>46078</v>
      </c>
      <c r="F1355" s="5">
        <v>1900</v>
      </c>
      <c r="G1355" s="5">
        <v>1900</v>
      </c>
      <c r="H1355" s="61">
        <v>0</v>
      </c>
      <c r="I1355" s="6">
        <f t="shared" si="21"/>
        <v>-1900</v>
      </c>
      <c r="J1355" s="9">
        <v>46255</v>
      </c>
      <c r="K1355" s="31" t="s">
        <v>1003</v>
      </c>
      <c r="L1355" s="31" t="s">
        <v>382</v>
      </c>
      <c r="M1355" s="44" t="s">
        <v>20</v>
      </c>
      <c r="N1355" s="3">
        <v>46256</v>
      </c>
    </row>
    <row r="1356" spans="1:14">
      <c r="A1356" s="4" t="s">
        <v>1074</v>
      </c>
      <c r="B1356" s="4" t="s">
        <v>1075</v>
      </c>
      <c r="C1356" s="4" t="s">
        <v>23</v>
      </c>
      <c r="D1356" s="4" t="s">
        <v>165</v>
      </c>
      <c r="E1356" s="3">
        <v>46051</v>
      </c>
      <c r="F1356" s="5">
        <v>-1017.72</v>
      </c>
      <c r="G1356" s="5">
        <v>1140</v>
      </c>
      <c r="H1356" s="61">
        <v>0</v>
      </c>
      <c r="I1356" s="6">
        <f t="shared" si="21"/>
        <v>1017.72</v>
      </c>
      <c r="J1356" s="9">
        <v>46255</v>
      </c>
      <c r="K1356" s="31" t="s">
        <v>1003</v>
      </c>
      <c r="L1356" s="31" t="s">
        <v>382</v>
      </c>
      <c r="M1356" s="119" t="s">
        <v>20</v>
      </c>
      <c r="N1356" s="3">
        <v>46272</v>
      </c>
    </row>
    <row r="1357" spans="1:14">
      <c r="A1357" s="4" t="s">
        <v>1074</v>
      </c>
      <c r="B1357" s="4" t="s">
        <v>1075</v>
      </c>
      <c r="C1357" s="4" t="s">
        <v>23</v>
      </c>
      <c r="D1357" s="4" t="s">
        <v>496</v>
      </c>
      <c r="E1357" s="3">
        <v>46161</v>
      </c>
      <c r="F1357" s="5">
        <v>377.72</v>
      </c>
      <c r="G1357" s="5">
        <v>377.72</v>
      </c>
      <c r="H1357" s="61">
        <v>0</v>
      </c>
      <c r="I1357" s="6">
        <f t="shared" si="21"/>
        <v>-377.72</v>
      </c>
      <c r="J1357" s="9">
        <v>46255</v>
      </c>
      <c r="K1357" s="31" t="s">
        <v>1003</v>
      </c>
      <c r="L1357" s="31" t="s">
        <v>382</v>
      </c>
      <c r="M1357" s="119" t="s">
        <v>20</v>
      </c>
      <c r="N1357" s="3">
        <v>46256</v>
      </c>
    </row>
    <row r="1358" spans="1:14">
      <c r="A1358" s="4" t="s">
        <v>1074</v>
      </c>
      <c r="B1358" s="4" t="s">
        <v>1075</v>
      </c>
      <c r="C1358" s="4" t="s">
        <v>25</v>
      </c>
      <c r="D1358" s="4" t="s">
        <v>496</v>
      </c>
      <c r="E1358" s="3">
        <v>46161</v>
      </c>
      <c r="F1358" s="5">
        <v>2280</v>
      </c>
      <c r="G1358" s="5">
        <v>2280</v>
      </c>
      <c r="H1358" s="61">
        <v>380</v>
      </c>
      <c r="I1358" s="6">
        <f t="shared" si="21"/>
        <v>-1900</v>
      </c>
      <c r="J1358" s="9">
        <v>46255</v>
      </c>
      <c r="K1358" s="31" t="s">
        <v>1003</v>
      </c>
      <c r="L1358" s="31" t="s">
        <v>382</v>
      </c>
      <c r="M1358" s="119" t="s">
        <v>20</v>
      </c>
      <c r="N1358" s="3">
        <v>46256</v>
      </c>
    </row>
    <row r="1359" spans="1:14">
      <c r="A1359" s="4" t="s">
        <v>1076</v>
      </c>
      <c r="B1359" s="4" t="s">
        <v>1077</v>
      </c>
      <c r="C1359" s="40" t="s">
        <v>23</v>
      </c>
      <c r="D1359" s="4">
        <v>1082026</v>
      </c>
      <c r="E1359" s="3"/>
      <c r="F1359" s="5">
        <v>-380</v>
      </c>
      <c r="G1359" s="5"/>
      <c r="H1359" s="61">
        <v>0</v>
      </c>
      <c r="I1359" s="6">
        <f t="shared" si="21"/>
        <v>380</v>
      </c>
      <c r="J1359" s="9">
        <v>46255</v>
      </c>
      <c r="K1359" s="31"/>
      <c r="L1359" s="31"/>
      <c r="M1359" s="119" t="s">
        <v>20</v>
      </c>
      <c r="N1359" s="3">
        <v>46272</v>
      </c>
    </row>
    <row r="1360" spans="1:14">
      <c r="A1360" s="4" t="s">
        <v>1076</v>
      </c>
      <c r="B1360" s="4" t="s">
        <v>1077</v>
      </c>
      <c r="C1360" s="40" t="s">
        <v>23</v>
      </c>
      <c r="D1360" s="4">
        <v>4222026</v>
      </c>
      <c r="E1360" s="3"/>
      <c r="F1360" s="5">
        <v>1996</v>
      </c>
      <c r="G1360" s="5"/>
      <c r="H1360" s="61">
        <v>0</v>
      </c>
      <c r="I1360" s="6">
        <f t="shared" si="21"/>
        <v>-1996</v>
      </c>
      <c r="J1360" s="9">
        <v>46255</v>
      </c>
      <c r="K1360" s="31"/>
      <c r="L1360" s="31"/>
      <c r="M1360" s="119" t="s">
        <v>20</v>
      </c>
      <c r="N1360" s="3">
        <v>46272</v>
      </c>
    </row>
    <row r="1361" spans="1:14">
      <c r="A1361" s="4" t="s">
        <v>1076</v>
      </c>
      <c r="B1361" s="4" t="s">
        <v>1077</v>
      </c>
      <c r="C1361" s="4" t="s">
        <v>16</v>
      </c>
      <c r="D1361" s="4" t="s">
        <v>368</v>
      </c>
      <c r="E1361" s="3">
        <v>46241</v>
      </c>
      <c r="F1361" s="5">
        <v>15580</v>
      </c>
      <c r="G1361" s="5">
        <v>15580</v>
      </c>
      <c r="H1361" s="61">
        <v>11780</v>
      </c>
      <c r="I1361" s="6">
        <f t="shared" si="21"/>
        <v>-3800</v>
      </c>
      <c r="J1361" s="9">
        <v>46255</v>
      </c>
      <c r="K1361" s="31" t="s">
        <v>1003</v>
      </c>
      <c r="L1361" s="31" t="s">
        <v>382</v>
      </c>
      <c r="M1361" s="44" t="s">
        <v>20</v>
      </c>
      <c r="N1361" s="3">
        <v>46256</v>
      </c>
    </row>
    <row r="1362" spans="1:14">
      <c r="A1362" s="4" t="s">
        <v>1078</v>
      </c>
      <c r="B1362" s="4" t="s">
        <v>1079</v>
      </c>
      <c r="C1362" s="4" t="s">
        <v>16</v>
      </c>
      <c r="D1362" s="4" t="s">
        <v>165</v>
      </c>
      <c r="E1362" s="3">
        <v>46052</v>
      </c>
      <c r="F1362" s="5">
        <v>3040</v>
      </c>
      <c r="G1362" s="5">
        <v>3040</v>
      </c>
      <c r="H1362" s="61">
        <v>2660</v>
      </c>
      <c r="I1362" s="6">
        <f t="shared" si="21"/>
        <v>-380</v>
      </c>
      <c r="J1362" s="9">
        <v>46255</v>
      </c>
      <c r="K1362" s="31" t="s">
        <v>1003</v>
      </c>
      <c r="L1362" s="31" t="s">
        <v>382</v>
      </c>
      <c r="M1362" s="44" t="s">
        <v>20</v>
      </c>
      <c r="N1362" s="3">
        <v>46256</v>
      </c>
    </row>
    <row r="1363" spans="1:14">
      <c r="A1363" s="4" t="s">
        <v>1078</v>
      </c>
      <c r="B1363" s="4" t="s">
        <v>1079</v>
      </c>
      <c r="C1363" s="4" t="s">
        <v>23</v>
      </c>
      <c r="D1363" s="4" t="s">
        <v>165</v>
      </c>
      <c r="E1363" s="3">
        <v>46052</v>
      </c>
      <c r="F1363" s="5">
        <v>0</v>
      </c>
      <c r="G1363" s="5">
        <v>3800</v>
      </c>
      <c r="H1363" s="61">
        <v>0</v>
      </c>
      <c r="I1363" s="6">
        <f t="shared" si="21"/>
        <v>0</v>
      </c>
      <c r="J1363" s="9">
        <v>46255</v>
      </c>
      <c r="K1363" s="31" t="s">
        <v>1003</v>
      </c>
      <c r="L1363" s="31" t="s">
        <v>382</v>
      </c>
      <c r="M1363" s="119" t="s">
        <v>20</v>
      </c>
      <c r="N1363" s="3">
        <v>46256</v>
      </c>
    </row>
    <row r="1364" spans="1:14">
      <c r="A1364" s="4" t="s">
        <v>1078</v>
      </c>
      <c r="B1364" s="4" t="s">
        <v>1079</v>
      </c>
      <c r="C1364" s="4" t="s">
        <v>16</v>
      </c>
      <c r="D1364" s="4" t="s">
        <v>1080</v>
      </c>
      <c r="E1364" s="3">
        <v>46208</v>
      </c>
      <c r="F1364" s="5">
        <v>16720</v>
      </c>
      <c r="G1364" s="5">
        <v>16720</v>
      </c>
      <c r="H1364" s="61">
        <v>16720</v>
      </c>
      <c r="I1364" s="6">
        <f t="shared" si="21"/>
        <v>0</v>
      </c>
      <c r="J1364" s="9">
        <v>46255</v>
      </c>
      <c r="K1364" s="31" t="s">
        <v>1003</v>
      </c>
      <c r="L1364" s="31" t="s">
        <v>382</v>
      </c>
      <c r="M1364" s="119" t="s">
        <v>20</v>
      </c>
      <c r="N1364" s="3">
        <v>46256</v>
      </c>
    </row>
    <row r="1365" spans="1:14">
      <c r="A1365" s="4" t="s">
        <v>1081</v>
      </c>
      <c r="B1365" s="4" t="s">
        <v>1082</v>
      </c>
      <c r="C1365" s="4" t="s">
        <v>16</v>
      </c>
      <c r="D1365" s="4" t="s">
        <v>822</v>
      </c>
      <c r="E1365" s="3">
        <v>46052</v>
      </c>
      <c r="F1365" s="5">
        <v>16340</v>
      </c>
      <c r="G1365" s="5">
        <v>16340</v>
      </c>
      <c r="H1365" s="61">
        <v>16340</v>
      </c>
      <c r="I1365" s="6">
        <f t="shared" si="21"/>
        <v>0</v>
      </c>
      <c r="J1365" s="9">
        <v>46255</v>
      </c>
      <c r="K1365" s="31" t="s">
        <v>1003</v>
      </c>
      <c r="L1365" s="31" t="s">
        <v>382</v>
      </c>
      <c r="M1365" s="119" t="s">
        <v>20</v>
      </c>
      <c r="N1365" s="3">
        <v>46256</v>
      </c>
    </row>
    <row r="1366" spans="1:14">
      <c r="A1366" s="4" t="s">
        <v>1081</v>
      </c>
      <c r="B1366" s="4" t="s">
        <v>1082</v>
      </c>
      <c r="C1366" s="4" t="s">
        <v>16</v>
      </c>
      <c r="D1366" s="4" t="s">
        <v>368</v>
      </c>
      <c r="E1366" s="3">
        <v>46241</v>
      </c>
      <c r="F1366" s="5">
        <v>15580</v>
      </c>
      <c r="G1366" s="5">
        <v>15580</v>
      </c>
      <c r="H1366" s="61">
        <v>15580</v>
      </c>
      <c r="I1366" s="6">
        <f t="shared" si="21"/>
        <v>0</v>
      </c>
      <c r="J1366" s="9">
        <v>46255</v>
      </c>
      <c r="K1366" s="31" t="s">
        <v>1003</v>
      </c>
      <c r="L1366" s="31" t="s">
        <v>382</v>
      </c>
      <c r="M1366" s="119" t="s">
        <v>20</v>
      </c>
      <c r="N1366" s="3">
        <v>46256</v>
      </c>
    </row>
    <row r="1367" spans="1:14">
      <c r="A1367" s="4" t="s">
        <v>1083</v>
      </c>
      <c r="B1367" s="4" t="s">
        <v>1084</v>
      </c>
      <c r="C1367" s="4" t="s">
        <v>16</v>
      </c>
      <c r="D1367" s="4" t="s">
        <v>227</v>
      </c>
      <c r="E1367" s="3">
        <v>45983</v>
      </c>
      <c r="F1367" s="5">
        <v>11400</v>
      </c>
      <c r="G1367" s="5">
        <v>22800</v>
      </c>
      <c r="H1367" s="61">
        <v>11400</v>
      </c>
      <c r="I1367" s="6">
        <f t="shared" si="21"/>
        <v>0</v>
      </c>
      <c r="J1367" s="9">
        <v>46255</v>
      </c>
      <c r="K1367" s="31" t="s">
        <v>1003</v>
      </c>
      <c r="L1367" s="31" t="s">
        <v>382</v>
      </c>
      <c r="M1367" s="119" t="s">
        <v>20</v>
      </c>
      <c r="N1367" s="3">
        <v>46256</v>
      </c>
    </row>
    <row r="1368" spans="1:14">
      <c r="A1368" s="4" t="s">
        <v>1083</v>
      </c>
      <c r="B1368" s="4" t="s">
        <v>1084</v>
      </c>
      <c r="C1368" s="4" t="s">
        <v>16</v>
      </c>
      <c r="D1368" s="4" t="s">
        <v>320</v>
      </c>
      <c r="E1368" s="3">
        <v>46002</v>
      </c>
      <c r="F1368" s="5">
        <v>380</v>
      </c>
      <c r="G1368" s="5">
        <v>380</v>
      </c>
      <c r="H1368" s="61">
        <v>380</v>
      </c>
      <c r="I1368" s="6">
        <f t="shared" si="21"/>
        <v>0</v>
      </c>
      <c r="J1368" s="9">
        <v>46255</v>
      </c>
      <c r="K1368" s="31" t="s">
        <v>1003</v>
      </c>
      <c r="L1368" s="31" t="s">
        <v>382</v>
      </c>
      <c r="M1368" s="119" t="s">
        <v>20</v>
      </c>
      <c r="N1368" s="3">
        <v>46256</v>
      </c>
    </row>
    <row r="1369" spans="1:14">
      <c r="A1369" s="4" t="s">
        <v>1085</v>
      </c>
      <c r="B1369" s="4" t="s">
        <v>1086</v>
      </c>
      <c r="C1369" s="4" t="s">
        <v>16</v>
      </c>
      <c r="D1369" s="4" t="s">
        <v>1059</v>
      </c>
      <c r="E1369" s="3">
        <v>46043</v>
      </c>
      <c r="F1369" s="5">
        <v>11020</v>
      </c>
      <c r="G1369" s="5">
        <v>11020</v>
      </c>
      <c r="H1369" s="61">
        <v>6080</v>
      </c>
      <c r="I1369" s="6">
        <f t="shared" ref="I1369:I1433" si="22">IF(H1369="","",H1369-F1369)</f>
        <v>-4940</v>
      </c>
      <c r="J1369" s="9">
        <v>46245</v>
      </c>
      <c r="K1369" s="11" t="s">
        <v>141</v>
      </c>
      <c r="L1369" s="11"/>
      <c r="M1369" s="44" t="s">
        <v>20</v>
      </c>
      <c r="N1369" s="3">
        <v>46245</v>
      </c>
    </row>
    <row r="1370" spans="1:14">
      <c r="A1370" s="4" t="s">
        <v>1085</v>
      </c>
      <c r="B1370" s="4" t="s">
        <v>1086</v>
      </c>
      <c r="C1370" s="4" t="s">
        <v>23</v>
      </c>
      <c r="D1370" s="4" t="s">
        <v>261</v>
      </c>
      <c r="E1370" s="3">
        <v>46146</v>
      </c>
      <c r="F1370" s="5">
        <v>9880</v>
      </c>
      <c r="G1370" s="5">
        <v>9880</v>
      </c>
      <c r="H1370" s="61">
        <v>10640</v>
      </c>
      <c r="I1370" s="6">
        <f t="shared" si="22"/>
        <v>760</v>
      </c>
      <c r="J1370" s="9">
        <v>46245</v>
      </c>
      <c r="K1370" s="11" t="s">
        <v>141</v>
      </c>
      <c r="L1370" s="11"/>
      <c r="M1370" s="44" t="s">
        <v>20</v>
      </c>
      <c r="N1370" s="3">
        <v>46245</v>
      </c>
    </row>
    <row r="1371" spans="1:14">
      <c r="A1371" s="4" t="s">
        <v>1087</v>
      </c>
      <c r="B1371" s="4" t="s">
        <v>1088</v>
      </c>
      <c r="C1371" s="4" t="s">
        <v>16</v>
      </c>
      <c r="D1371" s="4" t="s">
        <v>860</v>
      </c>
      <c r="E1371" s="3">
        <v>45927</v>
      </c>
      <c r="F1371" s="5">
        <v>760</v>
      </c>
      <c r="G1371" s="5">
        <v>760</v>
      </c>
      <c r="H1371" s="61">
        <v>0</v>
      </c>
      <c r="I1371" s="6">
        <f t="shared" si="22"/>
        <v>-760</v>
      </c>
      <c r="J1371" s="9">
        <v>46255</v>
      </c>
      <c r="K1371" s="31" t="s">
        <v>1003</v>
      </c>
      <c r="L1371" s="31" t="s">
        <v>382</v>
      </c>
      <c r="M1371" s="44" t="s">
        <v>20</v>
      </c>
      <c r="N1371" s="3">
        <v>46256</v>
      </c>
    </row>
    <row r="1372" spans="1:14">
      <c r="A1372" s="4" t="s">
        <v>1087</v>
      </c>
      <c r="B1372" s="4" t="s">
        <v>1088</v>
      </c>
      <c r="C1372" s="4" t="s">
        <v>16</v>
      </c>
      <c r="D1372" s="4" t="s">
        <v>1089</v>
      </c>
      <c r="E1372" s="3">
        <v>46054</v>
      </c>
      <c r="F1372" s="5">
        <v>6080</v>
      </c>
      <c r="G1372" s="5">
        <v>5700</v>
      </c>
      <c r="H1372" s="61">
        <v>0</v>
      </c>
      <c r="I1372" s="6">
        <f t="shared" si="22"/>
        <v>-6080</v>
      </c>
      <c r="J1372" s="9">
        <v>46255</v>
      </c>
      <c r="K1372" s="31" t="s">
        <v>1003</v>
      </c>
      <c r="L1372" s="31" t="s">
        <v>382</v>
      </c>
      <c r="M1372" s="44" t="s">
        <v>20</v>
      </c>
      <c r="N1372" s="3">
        <v>46256</v>
      </c>
    </row>
    <row r="1373" spans="1:14">
      <c r="A1373" s="4" t="s">
        <v>1087</v>
      </c>
      <c r="B1373" s="4" t="s">
        <v>1088</v>
      </c>
      <c r="C1373" s="4" t="s">
        <v>23</v>
      </c>
      <c r="D1373" s="4" t="s">
        <v>894</v>
      </c>
      <c r="E1373" s="3">
        <v>46105</v>
      </c>
      <c r="F1373" s="5">
        <v>-3200</v>
      </c>
      <c r="G1373" s="5">
        <v>6840</v>
      </c>
      <c r="H1373" s="61">
        <v>0</v>
      </c>
      <c r="I1373" s="6">
        <f t="shared" si="22"/>
        <v>3200</v>
      </c>
      <c r="J1373" s="9">
        <v>46255</v>
      </c>
      <c r="K1373" s="31" t="s">
        <v>1003</v>
      </c>
      <c r="L1373" s="31" t="s">
        <v>382</v>
      </c>
      <c r="M1373" s="119" t="s">
        <v>20</v>
      </c>
      <c r="N1373" s="3">
        <v>46272</v>
      </c>
    </row>
    <row r="1374" spans="1:14">
      <c r="A1374" s="4" t="s">
        <v>1087</v>
      </c>
      <c r="B1374" s="4" t="s">
        <v>1088</v>
      </c>
      <c r="C1374" s="4" t="s">
        <v>16</v>
      </c>
      <c r="D1374" s="4" t="s">
        <v>894</v>
      </c>
      <c r="E1374" s="3">
        <v>46105</v>
      </c>
      <c r="F1374" s="5">
        <v>780</v>
      </c>
      <c r="G1374" s="5">
        <v>780</v>
      </c>
      <c r="H1374" s="61">
        <v>0</v>
      </c>
      <c r="I1374" s="6">
        <f t="shared" si="22"/>
        <v>-780</v>
      </c>
      <c r="J1374" s="9">
        <v>46255</v>
      </c>
      <c r="K1374" s="31" t="s">
        <v>1003</v>
      </c>
      <c r="L1374" s="31" t="s">
        <v>382</v>
      </c>
      <c r="M1374" s="44" t="s">
        <v>20</v>
      </c>
      <c r="N1374" s="3">
        <v>46256</v>
      </c>
    </row>
    <row r="1375" spans="1:14">
      <c r="A1375" s="4" t="s">
        <v>1087</v>
      </c>
      <c r="B1375" s="4" t="s">
        <v>1088</v>
      </c>
      <c r="C1375" s="4" t="s">
        <v>23</v>
      </c>
      <c r="D1375" s="4" t="s">
        <v>153</v>
      </c>
      <c r="E1375" s="3">
        <v>46151</v>
      </c>
      <c r="F1375" s="5">
        <v>4272</v>
      </c>
      <c r="G1375" s="5">
        <v>2472</v>
      </c>
      <c r="H1375" s="61">
        <v>0</v>
      </c>
      <c r="I1375" s="6">
        <f t="shared" si="22"/>
        <v>-4272</v>
      </c>
      <c r="J1375" s="9">
        <v>46255</v>
      </c>
      <c r="K1375" s="31" t="s">
        <v>1003</v>
      </c>
      <c r="L1375" s="31" t="s">
        <v>382</v>
      </c>
      <c r="M1375" s="119" t="s">
        <v>20</v>
      </c>
      <c r="N1375" s="3">
        <v>46272</v>
      </c>
    </row>
    <row r="1376" spans="1:14">
      <c r="A1376" s="4" t="s">
        <v>1087</v>
      </c>
      <c r="B1376" s="4" t="s">
        <v>1088</v>
      </c>
      <c r="C1376" s="4" t="s">
        <v>16</v>
      </c>
      <c r="D1376" s="4" t="s">
        <v>153</v>
      </c>
      <c r="E1376" s="3">
        <v>46151</v>
      </c>
      <c r="F1376" s="5">
        <v>2280</v>
      </c>
      <c r="G1376" s="5">
        <v>2280</v>
      </c>
      <c r="H1376" s="61">
        <v>0</v>
      </c>
      <c r="I1376" s="6">
        <f t="shared" si="22"/>
        <v>-2280</v>
      </c>
      <c r="J1376" s="9">
        <v>46255</v>
      </c>
      <c r="K1376" s="31" t="s">
        <v>1003</v>
      </c>
      <c r="L1376" s="31" t="s">
        <v>382</v>
      </c>
      <c r="M1376" s="44" t="s">
        <v>20</v>
      </c>
      <c r="N1376" s="3">
        <v>46256</v>
      </c>
    </row>
    <row r="1377" spans="1:14">
      <c r="A1377" s="4" t="s">
        <v>1087</v>
      </c>
      <c r="B1377" s="4" t="s">
        <v>1088</v>
      </c>
      <c r="C1377" s="4" t="s">
        <v>16</v>
      </c>
      <c r="D1377" s="4" t="s">
        <v>49</v>
      </c>
      <c r="E1377" s="3">
        <v>46240</v>
      </c>
      <c r="F1377" s="5">
        <v>15960</v>
      </c>
      <c r="G1377" s="5">
        <v>15960</v>
      </c>
      <c r="H1377" s="61">
        <v>2280</v>
      </c>
      <c r="I1377" s="6">
        <f t="shared" si="22"/>
        <v>-13680</v>
      </c>
      <c r="J1377" s="9">
        <v>46255</v>
      </c>
      <c r="K1377" s="31" t="s">
        <v>1003</v>
      </c>
      <c r="L1377" s="31" t="s">
        <v>382</v>
      </c>
      <c r="M1377" s="44" t="s">
        <v>20</v>
      </c>
      <c r="N1377" s="3">
        <v>46256</v>
      </c>
    </row>
    <row r="1378" spans="1:14">
      <c r="A1378" s="4" t="s">
        <v>1090</v>
      </c>
      <c r="B1378" s="4" t="s">
        <v>1091</v>
      </c>
      <c r="C1378" s="4" t="s">
        <v>16</v>
      </c>
      <c r="D1378" s="4" t="s">
        <v>140</v>
      </c>
      <c r="E1378" s="3">
        <v>46057</v>
      </c>
      <c r="F1378" s="5">
        <v>1520</v>
      </c>
      <c r="G1378" s="5">
        <v>760</v>
      </c>
      <c r="H1378" s="61">
        <v>760</v>
      </c>
      <c r="I1378" s="6">
        <f t="shared" si="22"/>
        <v>-760</v>
      </c>
      <c r="J1378" s="9">
        <v>46255</v>
      </c>
      <c r="K1378" s="31" t="s">
        <v>1003</v>
      </c>
      <c r="L1378" s="31" t="s">
        <v>382</v>
      </c>
      <c r="M1378" s="44" t="s">
        <v>20</v>
      </c>
      <c r="N1378" s="3">
        <v>46256</v>
      </c>
    </row>
    <row r="1379" spans="1:14">
      <c r="A1379" s="4" t="s">
        <v>1090</v>
      </c>
      <c r="B1379" s="4" t="s">
        <v>1091</v>
      </c>
      <c r="C1379" s="4" t="s">
        <v>23</v>
      </c>
      <c r="D1379" s="4" t="s">
        <v>853</v>
      </c>
      <c r="E1379" s="3">
        <v>46115</v>
      </c>
      <c r="F1379" s="5">
        <v>760</v>
      </c>
      <c r="G1379" s="5">
        <v>4938.1000000000004</v>
      </c>
      <c r="H1379" s="61">
        <v>0</v>
      </c>
      <c r="I1379" s="6">
        <f t="shared" si="22"/>
        <v>-760</v>
      </c>
      <c r="J1379" s="9">
        <v>46255</v>
      </c>
      <c r="K1379" s="31" t="s">
        <v>1003</v>
      </c>
      <c r="L1379" s="31" t="s">
        <v>382</v>
      </c>
      <c r="M1379" s="119" t="s">
        <v>20</v>
      </c>
      <c r="N1379" s="3">
        <v>46272</v>
      </c>
    </row>
    <row r="1380" spans="1:14">
      <c r="A1380" s="4" t="s">
        <v>1090</v>
      </c>
      <c r="B1380" s="4" t="s">
        <v>1091</v>
      </c>
      <c r="C1380" s="4" t="s">
        <v>16</v>
      </c>
      <c r="D1380" s="4" t="s">
        <v>127</v>
      </c>
      <c r="E1380" s="3">
        <v>46151</v>
      </c>
      <c r="F1380" s="5">
        <v>2280</v>
      </c>
      <c r="G1380" s="5">
        <v>2280</v>
      </c>
      <c r="H1380" s="61">
        <v>1520</v>
      </c>
      <c r="I1380" s="6">
        <f t="shared" si="22"/>
        <v>-760</v>
      </c>
      <c r="J1380" s="9">
        <v>46255</v>
      </c>
      <c r="K1380" s="31" t="s">
        <v>1003</v>
      </c>
      <c r="L1380" s="31" t="s">
        <v>382</v>
      </c>
      <c r="M1380" s="44" t="s">
        <v>20</v>
      </c>
      <c r="N1380" s="3">
        <v>46256</v>
      </c>
    </row>
    <row r="1381" spans="1:14">
      <c r="A1381" s="4" t="s">
        <v>1090</v>
      </c>
      <c r="B1381" s="4" t="s">
        <v>1091</v>
      </c>
      <c r="C1381" s="4" t="s">
        <v>23</v>
      </c>
      <c r="D1381" s="4" t="s">
        <v>127</v>
      </c>
      <c r="E1381" s="3">
        <v>46151</v>
      </c>
      <c r="F1381" s="5">
        <v>3800</v>
      </c>
      <c r="G1381" s="5">
        <v>1898.1</v>
      </c>
      <c r="H1381" s="61">
        <v>0</v>
      </c>
      <c r="I1381" s="6">
        <f t="shared" si="22"/>
        <v>-3800</v>
      </c>
      <c r="J1381" s="9">
        <v>46255</v>
      </c>
      <c r="K1381" s="31" t="s">
        <v>1003</v>
      </c>
      <c r="L1381" s="31" t="s">
        <v>382</v>
      </c>
      <c r="M1381" s="119" t="s">
        <v>20</v>
      </c>
      <c r="N1381" s="3">
        <v>46272</v>
      </c>
    </row>
    <row r="1382" spans="1:14">
      <c r="A1382" s="4" t="s">
        <v>1092</v>
      </c>
      <c r="B1382" s="4" t="s">
        <v>1093</v>
      </c>
      <c r="C1382" s="4" t="s">
        <v>16</v>
      </c>
      <c r="D1382" s="4" t="s">
        <v>623</v>
      </c>
      <c r="E1382" s="3">
        <v>46098</v>
      </c>
      <c r="F1382" s="5">
        <v>3040</v>
      </c>
      <c r="G1382" s="5">
        <v>3040</v>
      </c>
      <c r="H1382" s="61">
        <v>0</v>
      </c>
      <c r="I1382" s="6">
        <f t="shared" si="22"/>
        <v>-3040</v>
      </c>
      <c r="J1382" s="9">
        <v>46255</v>
      </c>
      <c r="K1382" s="11" t="s">
        <v>1003</v>
      </c>
      <c r="L1382" s="11" t="s">
        <v>382</v>
      </c>
      <c r="M1382" s="44" t="s">
        <v>20</v>
      </c>
      <c r="N1382" s="3">
        <v>46256</v>
      </c>
    </row>
    <row r="1383" spans="1:14">
      <c r="A1383" s="4" t="s">
        <v>1092</v>
      </c>
      <c r="B1383" s="4" t="s">
        <v>1093</v>
      </c>
      <c r="C1383" s="4" t="s">
        <v>25</v>
      </c>
      <c r="D1383" s="4" t="s">
        <v>42</v>
      </c>
      <c r="E1383" s="3">
        <v>46104</v>
      </c>
      <c r="F1383" s="5">
        <v>2280</v>
      </c>
      <c r="G1383" s="5">
        <v>2280</v>
      </c>
      <c r="H1383" s="61">
        <v>6840</v>
      </c>
      <c r="I1383" s="6">
        <f t="shared" si="22"/>
        <v>4560</v>
      </c>
      <c r="J1383" s="9">
        <v>46255</v>
      </c>
      <c r="K1383" s="11" t="s">
        <v>1003</v>
      </c>
      <c r="L1383" s="11" t="s">
        <v>382</v>
      </c>
      <c r="M1383" s="119" t="s">
        <v>20</v>
      </c>
      <c r="N1383" s="3">
        <v>46272</v>
      </c>
    </row>
    <row r="1384" spans="1:14">
      <c r="A1384" s="4" t="s">
        <v>1092</v>
      </c>
      <c r="B1384" s="4" t="s">
        <v>1093</v>
      </c>
      <c r="C1384" s="4" t="s">
        <v>16</v>
      </c>
      <c r="D1384" s="4">
        <v>2152026</v>
      </c>
      <c r="E1384" s="3"/>
      <c r="F1384" s="5">
        <v>0</v>
      </c>
      <c r="G1384" s="5"/>
      <c r="H1384" s="61">
        <v>1140</v>
      </c>
      <c r="I1384" s="6">
        <f>IF(H1384="","",H1384-F1384)</f>
        <v>1140</v>
      </c>
      <c r="J1384" s="9">
        <v>46255</v>
      </c>
      <c r="K1384" s="11" t="s">
        <v>1003</v>
      </c>
      <c r="L1384" s="11" t="s">
        <v>382</v>
      </c>
      <c r="M1384" s="44" t="s">
        <v>20</v>
      </c>
      <c r="N1384" s="3">
        <v>46258</v>
      </c>
    </row>
    <row r="1385" spans="1:14">
      <c r="A1385" s="4" t="s">
        <v>1092</v>
      </c>
      <c r="B1385" s="4" t="s">
        <v>1093</v>
      </c>
      <c r="C1385" t="s">
        <v>16</v>
      </c>
      <c r="D1385" s="4">
        <v>3032026</v>
      </c>
      <c r="E1385" s="3"/>
      <c r="F1385" s="5">
        <v>0</v>
      </c>
      <c r="G1385" s="5"/>
      <c r="H1385" s="61">
        <v>380</v>
      </c>
      <c r="I1385" s="6">
        <f>IF(H1385="","",H1385-F1385)</f>
        <v>380</v>
      </c>
      <c r="J1385" s="9">
        <v>46255</v>
      </c>
      <c r="K1385" s="11" t="s">
        <v>1003</v>
      </c>
      <c r="L1385" s="11" t="s">
        <v>382</v>
      </c>
      <c r="M1385" s="44" t="s">
        <v>20</v>
      </c>
      <c r="N1385" s="3">
        <v>46258</v>
      </c>
    </row>
    <row r="1386" spans="1:14">
      <c r="A1386" s="4" t="s">
        <v>1094</v>
      </c>
      <c r="B1386" s="4" t="s">
        <v>1095</v>
      </c>
      <c r="C1386" s="4" t="s">
        <v>16</v>
      </c>
      <c r="D1386" s="4" t="s">
        <v>1096</v>
      </c>
      <c r="E1386" s="3">
        <v>46061</v>
      </c>
      <c r="F1386" s="5">
        <v>9120</v>
      </c>
      <c r="G1386" s="5">
        <v>8360</v>
      </c>
      <c r="H1386" s="61">
        <v>4180</v>
      </c>
      <c r="I1386" s="6">
        <f t="shared" si="22"/>
        <v>-4940</v>
      </c>
      <c r="J1386" s="9">
        <v>46255</v>
      </c>
      <c r="K1386" s="11" t="s">
        <v>1003</v>
      </c>
      <c r="L1386" s="11" t="s">
        <v>382</v>
      </c>
      <c r="M1386" s="119" t="s">
        <v>20</v>
      </c>
      <c r="N1386" s="3">
        <v>46258</v>
      </c>
    </row>
    <row r="1387" spans="1:14">
      <c r="A1387" s="4" t="s">
        <v>1094</v>
      </c>
      <c r="B1387" s="4" t="s">
        <v>1095</v>
      </c>
      <c r="C1387" s="4" t="s">
        <v>16</v>
      </c>
      <c r="D1387" s="4" t="s">
        <v>468</v>
      </c>
      <c r="E1387" s="3">
        <v>46061</v>
      </c>
      <c r="F1387" s="5">
        <v>93100</v>
      </c>
      <c r="G1387" s="5">
        <v>93100</v>
      </c>
      <c r="H1387" s="61">
        <v>98800</v>
      </c>
      <c r="I1387" s="6">
        <f t="shared" si="22"/>
        <v>5700</v>
      </c>
      <c r="J1387" s="9">
        <v>46255</v>
      </c>
      <c r="K1387" s="11" t="s">
        <v>1003</v>
      </c>
      <c r="L1387" s="11" t="s">
        <v>382</v>
      </c>
      <c r="M1387" s="44" t="s">
        <v>20</v>
      </c>
      <c r="N1387" s="3">
        <v>46258</v>
      </c>
    </row>
    <row r="1388" spans="1:14">
      <c r="A1388" s="13" t="s">
        <v>1097</v>
      </c>
      <c r="B1388" s="13" t="s">
        <v>1098</v>
      </c>
      <c r="C1388" s="13" t="s">
        <v>23</v>
      </c>
      <c r="D1388" s="13" t="s">
        <v>546</v>
      </c>
      <c r="E1388" s="14">
        <v>46118</v>
      </c>
      <c r="F1388" s="15">
        <v>49400</v>
      </c>
      <c r="G1388" s="15">
        <v>11400</v>
      </c>
      <c r="H1388" s="63">
        <v>0</v>
      </c>
      <c r="I1388" s="6">
        <f t="shared" si="22"/>
        <v>-49400</v>
      </c>
      <c r="J1388" s="16">
        <v>46244</v>
      </c>
      <c r="K1388" s="4" t="s">
        <v>479</v>
      </c>
      <c r="L1388" s="4" t="s">
        <v>382</v>
      </c>
      <c r="M1388" s="44" t="s">
        <v>20</v>
      </c>
      <c r="N1388" s="3">
        <v>46255</v>
      </c>
    </row>
    <row r="1389" spans="1:14">
      <c r="A1389" s="13" t="s">
        <v>1097</v>
      </c>
      <c r="B1389" s="13" t="s">
        <v>1098</v>
      </c>
      <c r="C1389" s="13" t="s">
        <v>25</v>
      </c>
      <c r="D1389" s="13" t="s">
        <v>546</v>
      </c>
      <c r="E1389" s="14">
        <v>46118</v>
      </c>
      <c r="F1389" s="15">
        <v>48260</v>
      </c>
      <c r="G1389" s="15">
        <v>47120</v>
      </c>
      <c r="H1389" s="63">
        <v>2660</v>
      </c>
      <c r="I1389" s="6">
        <f t="shared" si="22"/>
        <v>-45600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>
      <c r="A1390" s="13" t="s">
        <v>1097</v>
      </c>
      <c r="B1390" s="13" t="s">
        <v>1098</v>
      </c>
      <c r="C1390" s="13" t="s">
        <v>25</v>
      </c>
      <c r="D1390" s="13" t="s">
        <v>495</v>
      </c>
      <c r="E1390" s="14">
        <v>46141</v>
      </c>
      <c r="F1390" s="15">
        <v>19000</v>
      </c>
      <c r="G1390" s="15">
        <v>19000</v>
      </c>
      <c r="H1390" s="63">
        <v>0</v>
      </c>
      <c r="I1390" s="6">
        <f t="shared" si="22"/>
        <v>-19000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>
      <c r="A1391" s="13" t="s">
        <v>1097</v>
      </c>
      <c r="B1391" s="13" t="s">
        <v>1098</v>
      </c>
      <c r="C1391" s="13" t="s">
        <v>16</v>
      </c>
      <c r="D1391" s="13" t="s">
        <v>495</v>
      </c>
      <c r="E1391" s="14">
        <v>46141</v>
      </c>
      <c r="F1391" s="15">
        <v>26600</v>
      </c>
      <c r="G1391" s="15">
        <v>26600</v>
      </c>
      <c r="H1391" s="63">
        <v>26600</v>
      </c>
      <c r="I1391" s="6">
        <f t="shared" si="22"/>
        <v>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>
      <c r="A1392" s="13" t="s">
        <v>1097</v>
      </c>
      <c r="B1392" s="13" t="s">
        <v>1098</v>
      </c>
      <c r="C1392" s="13" t="s">
        <v>16</v>
      </c>
      <c r="D1392" s="13" t="s">
        <v>293</v>
      </c>
      <c r="E1392" s="14">
        <v>46232</v>
      </c>
      <c r="F1392" s="15">
        <v>104500</v>
      </c>
      <c r="G1392" s="15">
        <v>104500</v>
      </c>
      <c r="H1392" s="63">
        <v>104500</v>
      </c>
      <c r="I1392" s="6">
        <f t="shared" si="22"/>
        <v>0</v>
      </c>
      <c r="J1392" s="16">
        <v>46244</v>
      </c>
      <c r="K1392" s="19" t="s">
        <v>479</v>
      </c>
      <c r="L1392" s="19" t="s">
        <v>382</v>
      </c>
      <c r="M1392" s="44" t="s">
        <v>20</v>
      </c>
      <c r="N1392" s="3">
        <v>46255</v>
      </c>
    </row>
    <row r="1393" spans="1:14">
      <c r="A1393" s="13" t="s">
        <v>1097</v>
      </c>
      <c r="B1393" s="13" t="s">
        <v>1098</v>
      </c>
      <c r="C1393" s="13" t="s">
        <v>16</v>
      </c>
      <c r="D1393" s="14">
        <v>46191</v>
      </c>
      <c r="E1393" s="14">
        <v>46244</v>
      </c>
      <c r="F1393" s="15">
        <v>0</v>
      </c>
      <c r="G1393" s="15"/>
      <c r="H1393" s="63">
        <v>760</v>
      </c>
      <c r="I1393" s="6">
        <f t="shared" si="22"/>
        <v>760</v>
      </c>
      <c r="J1393" s="16">
        <v>46244</v>
      </c>
      <c r="K1393" s="19" t="s">
        <v>479</v>
      </c>
      <c r="L1393" s="19" t="s">
        <v>382</v>
      </c>
      <c r="M1393" s="44" t="s">
        <v>20</v>
      </c>
      <c r="N1393" s="3">
        <v>46255</v>
      </c>
    </row>
    <row r="1394" spans="1:14">
      <c r="A1394" s="4" t="s">
        <v>1099</v>
      </c>
      <c r="B1394" s="4" t="s">
        <v>1100</v>
      </c>
      <c r="C1394" s="4" t="s">
        <v>16</v>
      </c>
      <c r="D1394" s="4" t="s">
        <v>314</v>
      </c>
      <c r="E1394" s="3">
        <v>46066</v>
      </c>
      <c r="F1394" s="5">
        <v>0</v>
      </c>
      <c r="G1394" s="5">
        <v>1520</v>
      </c>
      <c r="H1394" s="61">
        <v>0</v>
      </c>
      <c r="I1394" s="6">
        <f t="shared" si="22"/>
        <v>0</v>
      </c>
      <c r="J1394" s="9">
        <v>46255</v>
      </c>
      <c r="K1394" t="s">
        <v>1003</v>
      </c>
      <c r="L1394" t="s">
        <v>382</v>
      </c>
      <c r="M1394" s="44" t="s">
        <v>20</v>
      </c>
      <c r="N1394" s="3">
        <v>46258</v>
      </c>
    </row>
    <row r="1395" spans="1:14">
      <c r="A1395" s="4" t="s">
        <v>1099</v>
      </c>
      <c r="B1395" s="4" t="s">
        <v>1100</v>
      </c>
      <c r="C1395" s="4" t="s">
        <v>25</v>
      </c>
      <c r="D1395" s="4" t="s">
        <v>48</v>
      </c>
      <c r="E1395" s="3">
        <v>46084</v>
      </c>
      <c r="F1395" s="5">
        <v>0</v>
      </c>
      <c r="G1395" s="5">
        <v>6080</v>
      </c>
      <c r="H1395" s="61">
        <v>0</v>
      </c>
      <c r="I1395" s="6">
        <f t="shared" si="22"/>
        <v>0</v>
      </c>
      <c r="J1395" s="9">
        <v>46255</v>
      </c>
      <c r="K1395" s="11" t="s">
        <v>1003</v>
      </c>
      <c r="L1395" s="11" t="s">
        <v>382</v>
      </c>
      <c r="M1395" s="44" t="s">
        <v>20</v>
      </c>
      <c r="N1395" s="3">
        <v>46258</v>
      </c>
    </row>
    <row r="1396" spans="1:14">
      <c r="A1396" s="4" t="s">
        <v>1099</v>
      </c>
      <c r="B1396" s="4" t="s">
        <v>1100</v>
      </c>
      <c r="C1396" s="4" t="s">
        <v>16</v>
      </c>
      <c r="D1396" s="4" t="s">
        <v>72</v>
      </c>
      <c r="E1396" s="3">
        <v>46099</v>
      </c>
      <c r="F1396" s="5">
        <v>0</v>
      </c>
      <c r="G1396" s="5">
        <v>1520</v>
      </c>
      <c r="H1396" s="61">
        <v>0</v>
      </c>
      <c r="I1396" s="6">
        <f t="shared" si="22"/>
        <v>0</v>
      </c>
      <c r="J1396" s="9">
        <v>46255</v>
      </c>
      <c r="K1396" s="11" t="s">
        <v>1003</v>
      </c>
      <c r="L1396" s="11" t="s">
        <v>382</v>
      </c>
      <c r="M1396" s="44" t="s">
        <v>20</v>
      </c>
      <c r="N1396" s="3">
        <v>46258</v>
      </c>
    </row>
    <row r="1397" spans="1:14">
      <c r="A1397" s="4" t="s">
        <v>1099</v>
      </c>
      <c r="B1397" s="4" t="s">
        <v>1100</v>
      </c>
      <c r="C1397" s="4" t="s">
        <v>23</v>
      </c>
      <c r="D1397" s="4" t="s">
        <v>78</v>
      </c>
      <c r="E1397" s="3">
        <v>46117</v>
      </c>
      <c r="F1397" s="5">
        <v>30400</v>
      </c>
      <c r="G1397" s="5">
        <v>30400</v>
      </c>
      <c r="H1397" s="61">
        <v>0</v>
      </c>
      <c r="I1397" s="6">
        <f t="shared" si="22"/>
        <v>-30400</v>
      </c>
      <c r="J1397" s="9">
        <v>46255</v>
      </c>
      <c r="K1397" s="11" t="s">
        <v>1003</v>
      </c>
      <c r="L1397" s="11" t="s">
        <v>382</v>
      </c>
      <c r="M1397" s="44" t="s">
        <v>20</v>
      </c>
      <c r="N1397" s="3">
        <v>46258</v>
      </c>
    </row>
    <row r="1398" spans="1:14">
      <c r="A1398" s="4" t="s">
        <v>1099</v>
      </c>
      <c r="B1398" s="4" t="s">
        <v>1100</v>
      </c>
      <c r="C1398" s="4" t="s">
        <v>16</v>
      </c>
      <c r="D1398" s="4" t="s">
        <v>78</v>
      </c>
      <c r="E1398" s="3">
        <v>46117</v>
      </c>
      <c r="F1398" s="5">
        <v>14060</v>
      </c>
      <c r="G1398" s="5">
        <v>8360</v>
      </c>
      <c r="H1398" s="61">
        <v>0</v>
      </c>
      <c r="I1398" s="6">
        <f t="shared" si="22"/>
        <v>-14060</v>
      </c>
      <c r="J1398" s="9">
        <v>46255</v>
      </c>
      <c r="K1398" s="11" t="s">
        <v>1003</v>
      </c>
      <c r="L1398" s="11" t="s">
        <v>382</v>
      </c>
      <c r="M1398" s="44" t="s">
        <v>20</v>
      </c>
      <c r="N1398" s="3">
        <v>46258</v>
      </c>
    </row>
    <row r="1399" spans="1:14">
      <c r="A1399" s="4" t="s">
        <v>1099</v>
      </c>
      <c r="B1399" s="4" t="s">
        <v>1100</v>
      </c>
      <c r="C1399" s="4" t="s">
        <v>23</v>
      </c>
      <c r="D1399" s="4" t="s">
        <v>1101</v>
      </c>
      <c r="E1399" s="3">
        <v>46117</v>
      </c>
      <c r="F1399" s="5">
        <v>0</v>
      </c>
      <c r="G1399" s="5">
        <v>1900</v>
      </c>
      <c r="H1399" s="61">
        <v>0</v>
      </c>
      <c r="I1399" s="6">
        <f t="shared" si="22"/>
        <v>0</v>
      </c>
      <c r="J1399" s="9">
        <v>46255</v>
      </c>
      <c r="K1399" s="11" t="s">
        <v>1003</v>
      </c>
      <c r="L1399" s="11" t="s">
        <v>382</v>
      </c>
      <c r="M1399" s="44" t="s">
        <v>20</v>
      </c>
      <c r="N1399" s="3">
        <v>46258</v>
      </c>
    </row>
    <row r="1400" spans="1:14">
      <c r="A1400" s="4" t="s">
        <v>1099</v>
      </c>
      <c r="B1400" s="4" t="s">
        <v>1100</v>
      </c>
      <c r="C1400" s="4" t="s">
        <v>25</v>
      </c>
      <c r="D1400" s="4" t="s">
        <v>1102</v>
      </c>
      <c r="E1400" s="3">
        <v>46159</v>
      </c>
      <c r="F1400" s="5">
        <v>61180</v>
      </c>
      <c r="G1400" s="5">
        <v>380</v>
      </c>
      <c r="H1400" s="61">
        <v>0</v>
      </c>
      <c r="I1400" s="6">
        <f t="shared" si="22"/>
        <v>-61180</v>
      </c>
      <c r="J1400" s="9">
        <v>46255</v>
      </c>
      <c r="K1400" s="11" t="s">
        <v>1003</v>
      </c>
      <c r="L1400" s="11" t="s">
        <v>382</v>
      </c>
      <c r="M1400" s="44" t="s">
        <v>20</v>
      </c>
      <c r="N1400" s="3">
        <v>46258</v>
      </c>
    </row>
    <row r="1401" spans="1:14">
      <c r="A1401" s="4" t="s">
        <v>1099</v>
      </c>
      <c r="B1401" s="4" t="s">
        <v>1100</v>
      </c>
      <c r="C1401" s="4" t="s">
        <v>16</v>
      </c>
      <c r="D1401" s="4" t="s">
        <v>1102</v>
      </c>
      <c r="E1401" s="3">
        <v>46159</v>
      </c>
      <c r="F1401" s="5">
        <v>0</v>
      </c>
      <c r="G1401" s="5">
        <v>4940</v>
      </c>
      <c r="H1401" s="61">
        <v>0</v>
      </c>
      <c r="I1401" s="6">
        <f t="shared" si="22"/>
        <v>0</v>
      </c>
      <c r="J1401" s="9">
        <v>46255</v>
      </c>
      <c r="K1401" s="11" t="s">
        <v>1003</v>
      </c>
      <c r="L1401" s="11" t="s">
        <v>382</v>
      </c>
      <c r="M1401" s="44" t="s">
        <v>20</v>
      </c>
      <c r="N1401" s="3">
        <v>46258</v>
      </c>
    </row>
    <row r="1402" spans="1:14">
      <c r="A1402" s="4" t="s">
        <v>1099</v>
      </c>
      <c r="B1402" s="4" t="s">
        <v>1100</v>
      </c>
      <c r="C1402" s="4" t="s">
        <v>25</v>
      </c>
      <c r="D1402" s="4" t="s">
        <v>30</v>
      </c>
      <c r="E1402" s="3">
        <v>46200</v>
      </c>
      <c r="F1402" s="5">
        <v>1900</v>
      </c>
      <c r="G1402" s="5">
        <v>3800</v>
      </c>
      <c r="H1402" s="61">
        <v>1900</v>
      </c>
      <c r="I1402" s="6">
        <f t="shared" si="22"/>
        <v>0</v>
      </c>
      <c r="J1402" s="9">
        <v>46255</v>
      </c>
      <c r="K1402" s="11" t="s">
        <v>1003</v>
      </c>
      <c r="L1402" s="11" t="s">
        <v>382</v>
      </c>
      <c r="M1402" s="44" t="s">
        <v>20</v>
      </c>
      <c r="N1402" s="3">
        <v>46258</v>
      </c>
    </row>
    <row r="1403" spans="1:14">
      <c r="A1403" s="4" t="s">
        <v>1099</v>
      </c>
      <c r="B1403" s="4" t="s">
        <v>1100</v>
      </c>
      <c r="C1403" s="4" t="s">
        <v>16</v>
      </c>
      <c r="D1403" s="4" t="s">
        <v>30</v>
      </c>
      <c r="E1403" s="3">
        <v>46200</v>
      </c>
      <c r="F1403" s="5">
        <v>21360</v>
      </c>
      <c r="G1403" s="5">
        <v>57080</v>
      </c>
      <c r="H1403" s="61">
        <v>1900</v>
      </c>
      <c r="I1403" s="6">
        <f t="shared" si="22"/>
        <v>-19460</v>
      </c>
      <c r="J1403" s="9">
        <v>46255</v>
      </c>
      <c r="K1403" s="11" t="s">
        <v>1003</v>
      </c>
      <c r="L1403" s="11" t="s">
        <v>382</v>
      </c>
      <c r="M1403" s="44" t="s">
        <v>20</v>
      </c>
      <c r="N1403" s="3">
        <v>46258</v>
      </c>
    </row>
    <row r="1404" spans="1:14">
      <c r="A1404" s="4" t="s">
        <v>1099</v>
      </c>
      <c r="B1404" s="4" t="s">
        <v>1100</v>
      </c>
      <c r="C1404" s="4" t="s">
        <v>16</v>
      </c>
      <c r="D1404" s="4" t="s">
        <v>368</v>
      </c>
      <c r="E1404" s="3">
        <v>46229</v>
      </c>
      <c r="F1404" s="5">
        <v>50160</v>
      </c>
      <c r="G1404" s="5">
        <v>1900</v>
      </c>
      <c r="H1404" s="61">
        <v>45600</v>
      </c>
      <c r="I1404" s="6">
        <f t="shared" si="22"/>
        <v>-4560</v>
      </c>
      <c r="J1404" s="9">
        <v>46255</v>
      </c>
      <c r="K1404" s="11" t="s">
        <v>1003</v>
      </c>
      <c r="L1404" s="11" t="s">
        <v>382</v>
      </c>
      <c r="M1404" s="44" t="s">
        <v>20</v>
      </c>
      <c r="N1404" s="3">
        <v>46258</v>
      </c>
    </row>
    <row r="1405" spans="1:14">
      <c r="A1405" s="4" t="s">
        <v>1099</v>
      </c>
      <c r="B1405" s="4" t="s">
        <v>1100</v>
      </c>
      <c r="C1405" s="4" t="s">
        <v>16</v>
      </c>
      <c r="D1405" s="80" t="s">
        <v>649</v>
      </c>
      <c r="E1405" s="81">
        <v>96900</v>
      </c>
      <c r="F1405" s="5">
        <v>99160</v>
      </c>
      <c r="G1405" s="5"/>
      <c r="H1405" s="61">
        <v>195700</v>
      </c>
      <c r="I1405" s="6">
        <f>IF(H1405="","",H1405-F1405)</f>
        <v>96540</v>
      </c>
      <c r="J1405" s="9">
        <v>46255</v>
      </c>
      <c r="K1405" s="11" t="s">
        <v>1003</v>
      </c>
      <c r="L1405" s="11" t="s">
        <v>382</v>
      </c>
      <c r="M1405" s="44" t="s">
        <v>20</v>
      </c>
      <c r="N1405" s="3">
        <v>46258</v>
      </c>
    </row>
    <row r="1406" spans="1:14">
      <c r="A1406" s="4" t="s">
        <v>1103</v>
      </c>
      <c r="B1406" s="4" t="s">
        <v>1104</v>
      </c>
      <c r="C1406" s="4" t="s">
        <v>16</v>
      </c>
      <c r="D1406" s="4" t="s">
        <v>326</v>
      </c>
      <c r="E1406" s="3">
        <v>46032</v>
      </c>
      <c r="F1406" s="5">
        <v>7220</v>
      </c>
      <c r="G1406" s="5">
        <v>6460</v>
      </c>
      <c r="H1406" s="61">
        <v>0</v>
      </c>
      <c r="I1406" s="6">
        <f t="shared" si="22"/>
        <v>-7220</v>
      </c>
      <c r="J1406" s="9">
        <v>46255</v>
      </c>
      <c r="K1406" s="31" t="s">
        <v>1003</v>
      </c>
      <c r="L1406" s="31" t="s">
        <v>382</v>
      </c>
      <c r="M1406" s="44" t="s">
        <v>20</v>
      </c>
      <c r="N1406" s="3">
        <v>46256</v>
      </c>
    </row>
    <row r="1407" spans="1:14">
      <c r="A1407" s="91" t="s">
        <v>1103</v>
      </c>
      <c r="B1407" s="91" t="s">
        <v>1104</v>
      </c>
      <c r="C1407" s="91" t="s">
        <v>16</v>
      </c>
      <c r="D1407" s="91" t="s">
        <v>546</v>
      </c>
      <c r="E1407" s="92">
        <v>46139</v>
      </c>
      <c r="F1407" s="93">
        <v>1900</v>
      </c>
      <c r="G1407" s="93">
        <v>1900</v>
      </c>
      <c r="H1407" s="94">
        <v>0</v>
      </c>
      <c r="I1407" s="95">
        <f t="shared" si="22"/>
        <v>-1900</v>
      </c>
      <c r="J1407" s="96">
        <v>46255</v>
      </c>
      <c r="K1407" s="97" t="s">
        <v>1003</v>
      </c>
      <c r="L1407" s="97" t="s">
        <v>382</v>
      </c>
      <c r="M1407" s="98" t="s">
        <v>20</v>
      </c>
      <c r="N1407" s="3">
        <v>46256</v>
      </c>
    </row>
    <row r="1408" spans="1:14">
      <c r="A1408" s="91" t="s">
        <v>1103</v>
      </c>
      <c r="B1408" s="91" t="s">
        <v>1104</v>
      </c>
      <c r="C1408" s="91" t="s">
        <v>89</v>
      </c>
      <c r="D1408" s="91" t="s">
        <v>1105</v>
      </c>
      <c r="E1408" s="92">
        <v>46139</v>
      </c>
      <c r="F1408" s="93">
        <v>0</v>
      </c>
      <c r="G1408" s="93">
        <v>1900</v>
      </c>
      <c r="H1408" s="94">
        <v>0</v>
      </c>
      <c r="I1408" s="95">
        <f t="shared" si="22"/>
        <v>0</v>
      </c>
      <c r="J1408" s="96">
        <v>46255</v>
      </c>
      <c r="K1408" s="97" t="s">
        <v>1003</v>
      </c>
      <c r="L1408" s="97" t="s">
        <v>382</v>
      </c>
      <c r="M1408" s="98" t="s">
        <v>20</v>
      </c>
      <c r="N1408" s="3">
        <v>46256</v>
      </c>
    </row>
    <row r="1409" spans="1:29">
      <c r="A1409" s="91" t="s">
        <v>1103</v>
      </c>
      <c r="B1409" s="91" t="s">
        <v>1104</v>
      </c>
      <c r="C1409" s="91" t="s">
        <v>25</v>
      </c>
      <c r="D1409" s="91" t="s">
        <v>546</v>
      </c>
      <c r="E1409" s="92">
        <v>46139</v>
      </c>
      <c r="F1409" s="93">
        <v>9500</v>
      </c>
      <c r="G1409" s="93">
        <v>9500</v>
      </c>
      <c r="H1409" s="94">
        <v>0</v>
      </c>
      <c r="I1409" s="95">
        <f t="shared" si="22"/>
        <v>-9500</v>
      </c>
      <c r="J1409" s="96">
        <v>46255</v>
      </c>
      <c r="K1409" s="97" t="s">
        <v>1003</v>
      </c>
      <c r="L1409" s="97" t="s">
        <v>382</v>
      </c>
      <c r="M1409" s="98" t="s">
        <v>20</v>
      </c>
      <c r="N1409" s="3">
        <v>46256</v>
      </c>
    </row>
    <row r="1410" spans="1:29">
      <c r="A1410" s="91" t="s">
        <v>1103</v>
      </c>
      <c r="B1410" s="91" t="s">
        <v>1104</v>
      </c>
      <c r="C1410" s="91" t="s">
        <v>25</v>
      </c>
      <c r="D1410" s="91" t="s">
        <v>503</v>
      </c>
      <c r="E1410" s="92">
        <v>46161</v>
      </c>
      <c r="F1410" s="93">
        <v>3800</v>
      </c>
      <c r="G1410" s="93">
        <v>3800</v>
      </c>
      <c r="H1410" s="94">
        <v>0</v>
      </c>
      <c r="I1410" s="95">
        <f t="shared" si="22"/>
        <v>-3800</v>
      </c>
      <c r="J1410" s="96">
        <v>46255</v>
      </c>
      <c r="K1410" s="97" t="s">
        <v>1003</v>
      </c>
      <c r="L1410" s="97" t="s">
        <v>382</v>
      </c>
      <c r="M1410" s="98" t="s">
        <v>20</v>
      </c>
      <c r="N1410" s="3">
        <v>46256</v>
      </c>
    </row>
    <row r="1411" spans="1:29">
      <c r="A1411" s="91" t="s">
        <v>1103</v>
      </c>
      <c r="B1411" s="91" t="s">
        <v>1104</v>
      </c>
      <c r="C1411" s="91" t="s">
        <v>16</v>
      </c>
      <c r="D1411" s="91" t="s">
        <v>1102</v>
      </c>
      <c r="E1411" s="92">
        <v>46161</v>
      </c>
      <c r="F1411" s="93">
        <v>43510</v>
      </c>
      <c r="G1411" s="93">
        <v>31350</v>
      </c>
      <c r="H1411" s="94">
        <v>44840</v>
      </c>
      <c r="I1411" s="95">
        <f t="shared" si="22"/>
        <v>1330</v>
      </c>
      <c r="J1411" s="96">
        <v>46255</v>
      </c>
      <c r="K1411" s="97" t="s">
        <v>1003</v>
      </c>
      <c r="L1411" s="97" t="s">
        <v>382</v>
      </c>
      <c r="M1411" s="98" t="s">
        <v>20</v>
      </c>
      <c r="N1411" s="3">
        <v>46256</v>
      </c>
    </row>
    <row r="1412" spans="1:29">
      <c r="A1412" s="91" t="s">
        <v>1103</v>
      </c>
      <c r="B1412" s="91" t="s">
        <v>1104</v>
      </c>
      <c r="C1412" s="91" t="s">
        <v>16</v>
      </c>
      <c r="D1412" s="91" t="s">
        <v>503</v>
      </c>
      <c r="E1412" s="92">
        <v>46161</v>
      </c>
      <c r="F1412" s="93">
        <v>7600</v>
      </c>
      <c r="G1412" s="93">
        <v>7600</v>
      </c>
      <c r="H1412" s="94">
        <v>0</v>
      </c>
      <c r="I1412" s="95">
        <f t="shared" si="22"/>
        <v>-7600</v>
      </c>
      <c r="J1412" s="96">
        <v>46255</v>
      </c>
      <c r="K1412" s="97" t="s">
        <v>1003</v>
      </c>
      <c r="L1412" s="97" t="s">
        <v>382</v>
      </c>
      <c r="M1412" s="98" t="s">
        <v>20</v>
      </c>
      <c r="N1412" s="3">
        <v>46256</v>
      </c>
    </row>
    <row r="1413" spans="1:29">
      <c r="A1413" s="4" t="s">
        <v>1103</v>
      </c>
      <c r="B1413" s="4" t="s">
        <v>1104</v>
      </c>
      <c r="C1413" s="4" t="s">
        <v>16</v>
      </c>
      <c r="D1413" s="4" t="s">
        <v>34</v>
      </c>
      <c r="E1413" s="3">
        <v>46237</v>
      </c>
      <c r="F1413" s="5">
        <v>14440</v>
      </c>
      <c r="G1413" s="5">
        <v>14440</v>
      </c>
      <c r="H1413" s="61">
        <v>14440</v>
      </c>
      <c r="I1413" s="6">
        <f t="shared" si="22"/>
        <v>0</v>
      </c>
      <c r="J1413" s="9">
        <v>46255</v>
      </c>
      <c r="K1413" s="31" t="s">
        <v>1003</v>
      </c>
      <c r="L1413" s="31" t="s">
        <v>382</v>
      </c>
      <c r="M1413" s="44" t="s">
        <v>20</v>
      </c>
      <c r="N1413" s="3">
        <v>46258</v>
      </c>
      <c r="AC1413" s="90"/>
    </row>
    <row r="1414" spans="1:29">
      <c r="A1414" s="4" t="s">
        <v>1103</v>
      </c>
      <c r="B1414" s="4" t="s">
        <v>1104</v>
      </c>
      <c r="C1414" s="4" t="s">
        <v>16</v>
      </c>
      <c r="D1414" s="4" t="s">
        <v>293</v>
      </c>
      <c r="E1414" s="3">
        <v>46237</v>
      </c>
      <c r="F1414" s="5">
        <v>31540</v>
      </c>
      <c r="G1414" s="5">
        <v>28500</v>
      </c>
      <c r="H1414" s="61">
        <v>55100</v>
      </c>
      <c r="I1414" s="6">
        <f t="shared" si="22"/>
        <v>23560</v>
      </c>
      <c r="J1414" s="96">
        <v>46255</v>
      </c>
      <c r="K1414" s="97" t="s">
        <v>1003</v>
      </c>
      <c r="L1414" s="97" t="s">
        <v>382</v>
      </c>
      <c r="M1414" s="44" t="s">
        <v>20</v>
      </c>
      <c r="N1414" s="3">
        <v>46258</v>
      </c>
    </row>
    <row r="1415" spans="1:29">
      <c r="A1415" s="33" t="s">
        <v>1103</v>
      </c>
      <c r="B1415" s="33" t="s">
        <v>1104</v>
      </c>
      <c r="C1415" s="33" t="s">
        <v>16</v>
      </c>
      <c r="D1415" s="33" t="s">
        <v>649</v>
      </c>
      <c r="E1415" s="78">
        <v>46248</v>
      </c>
      <c r="F1415" s="79">
        <v>15580</v>
      </c>
      <c r="G1415" s="5"/>
      <c r="H1415" s="61">
        <v>15580</v>
      </c>
      <c r="I1415" s="6">
        <f t="shared" si="22"/>
        <v>0</v>
      </c>
      <c r="J1415" s="9">
        <v>46255</v>
      </c>
      <c r="K1415" s="31" t="s">
        <v>1003</v>
      </c>
      <c r="L1415" s="31" t="s">
        <v>382</v>
      </c>
      <c r="M1415" s="44" t="s">
        <v>20</v>
      </c>
      <c r="N1415" s="3">
        <v>46258</v>
      </c>
    </row>
    <row r="1416" spans="1:29">
      <c r="A1416" s="4" t="s">
        <v>1106</v>
      </c>
      <c r="B1416" s="4" t="s">
        <v>1107</v>
      </c>
      <c r="C1416" s="4" t="s">
        <v>23</v>
      </c>
      <c r="D1416" s="4" t="s">
        <v>78</v>
      </c>
      <c r="E1416" s="3">
        <v>46115</v>
      </c>
      <c r="F1416" s="5">
        <v>7220</v>
      </c>
      <c r="G1416" s="5">
        <v>7220</v>
      </c>
      <c r="H1416" s="61">
        <v>0</v>
      </c>
      <c r="I1416" s="6">
        <f t="shared" si="22"/>
        <v>-7220</v>
      </c>
      <c r="J1416" s="9">
        <v>46255</v>
      </c>
      <c r="K1416" s="31" t="s">
        <v>1003</v>
      </c>
      <c r="L1416" s="31" t="s">
        <v>382</v>
      </c>
      <c r="M1416" s="44" t="s">
        <v>20</v>
      </c>
      <c r="N1416" s="3">
        <v>46256</v>
      </c>
    </row>
    <row r="1417" spans="1:29">
      <c r="A1417" s="4" t="s">
        <v>1106</v>
      </c>
      <c r="B1417" s="4" t="s">
        <v>1107</v>
      </c>
      <c r="C1417" s="4" t="s">
        <v>23</v>
      </c>
      <c r="D1417" s="4" t="s">
        <v>148</v>
      </c>
      <c r="E1417" s="3">
        <v>46115</v>
      </c>
      <c r="F1417" s="5">
        <v>1520</v>
      </c>
      <c r="G1417" s="5">
        <v>1520</v>
      </c>
      <c r="H1417" s="61">
        <v>0</v>
      </c>
      <c r="I1417" s="6">
        <f t="shared" si="22"/>
        <v>-1520</v>
      </c>
      <c r="J1417" s="9">
        <v>46255</v>
      </c>
      <c r="K1417" s="31" t="s">
        <v>1003</v>
      </c>
      <c r="L1417" s="31" t="s">
        <v>382</v>
      </c>
      <c r="M1417" s="44" t="s">
        <v>20</v>
      </c>
      <c r="N1417" s="3">
        <v>46256</v>
      </c>
    </row>
    <row r="1418" spans="1:29">
      <c r="A1418" s="4" t="s">
        <v>1106</v>
      </c>
      <c r="B1418" s="4" t="s">
        <v>1107</v>
      </c>
      <c r="C1418" s="4" t="s">
        <v>23</v>
      </c>
      <c r="D1418" s="4" t="s">
        <v>495</v>
      </c>
      <c r="E1418" s="3">
        <v>46141</v>
      </c>
      <c r="F1418" s="5">
        <v>1520</v>
      </c>
      <c r="G1418" s="5">
        <v>1520</v>
      </c>
      <c r="H1418" s="61">
        <v>0</v>
      </c>
      <c r="I1418" s="6">
        <f t="shared" si="22"/>
        <v>-1520</v>
      </c>
      <c r="J1418" s="9">
        <v>46255</v>
      </c>
      <c r="K1418" s="31" t="s">
        <v>1003</v>
      </c>
      <c r="L1418" s="31" t="s">
        <v>382</v>
      </c>
      <c r="M1418" s="44" t="s">
        <v>20</v>
      </c>
      <c r="N1418" s="3">
        <v>46256</v>
      </c>
    </row>
    <row r="1419" spans="1:29">
      <c r="A1419" s="91" t="s">
        <v>1106</v>
      </c>
      <c r="B1419" s="91" t="s">
        <v>1107</v>
      </c>
      <c r="C1419" s="91" t="s">
        <v>23</v>
      </c>
      <c r="D1419" s="91" t="s">
        <v>17</v>
      </c>
      <c r="E1419" s="92">
        <v>46156</v>
      </c>
      <c r="F1419" s="93">
        <v>13458.359952000001</v>
      </c>
      <c r="G1419" s="93">
        <v>13458.359952000001</v>
      </c>
      <c r="H1419" s="94">
        <v>760</v>
      </c>
      <c r="I1419" s="95">
        <f t="shared" si="22"/>
        <v>-12698.359952000001</v>
      </c>
      <c r="J1419" s="96">
        <v>46255</v>
      </c>
      <c r="K1419" s="97" t="s">
        <v>1003</v>
      </c>
      <c r="L1419" s="97" t="s">
        <v>382</v>
      </c>
      <c r="M1419" s="98" t="s">
        <v>20</v>
      </c>
      <c r="N1419" s="3">
        <v>46258</v>
      </c>
    </row>
    <row r="1420" spans="1:29">
      <c r="A1420" s="91" t="s">
        <v>1106</v>
      </c>
      <c r="B1420" s="91" t="s">
        <v>1107</v>
      </c>
      <c r="C1420" s="91" t="s">
        <v>16</v>
      </c>
      <c r="D1420" s="91" t="s">
        <v>367</v>
      </c>
      <c r="E1420" s="92">
        <v>46227</v>
      </c>
      <c r="F1420" s="93">
        <v>28500</v>
      </c>
      <c r="G1420" s="93">
        <v>28500</v>
      </c>
      <c r="H1420" s="94">
        <v>28500</v>
      </c>
      <c r="I1420" s="95">
        <f t="shared" si="22"/>
        <v>0</v>
      </c>
      <c r="J1420" s="96">
        <v>46255</v>
      </c>
      <c r="K1420" s="97" t="s">
        <v>1003</v>
      </c>
      <c r="L1420" s="97" t="s">
        <v>382</v>
      </c>
      <c r="M1420" s="98" t="s">
        <v>20</v>
      </c>
      <c r="N1420" s="3">
        <v>46258</v>
      </c>
    </row>
    <row r="1421" spans="1:29">
      <c r="A1421" s="99" t="s">
        <v>1106</v>
      </c>
      <c r="B1421" s="99" t="s">
        <v>1107</v>
      </c>
      <c r="C1421" s="99" t="s">
        <v>16</v>
      </c>
      <c r="D1421" s="99" t="s">
        <v>649</v>
      </c>
      <c r="E1421" s="100">
        <v>46246</v>
      </c>
      <c r="F1421" s="101">
        <v>36100</v>
      </c>
      <c r="G1421" s="93"/>
      <c r="H1421" s="94">
        <v>36100</v>
      </c>
      <c r="I1421" s="95">
        <f t="shared" si="22"/>
        <v>0</v>
      </c>
      <c r="J1421" s="96">
        <v>46255</v>
      </c>
      <c r="K1421" s="97" t="s">
        <v>1003</v>
      </c>
      <c r="L1421" s="97" t="s">
        <v>382</v>
      </c>
      <c r="M1421" s="98" t="s">
        <v>20</v>
      </c>
      <c r="N1421" s="3">
        <v>46258</v>
      </c>
    </row>
    <row r="1422" spans="1:29">
      <c r="A1422" s="91" t="s">
        <v>1108</v>
      </c>
      <c r="B1422" s="91" t="s">
        <v>1109</v>
      </c>
      <c r="C1422" s="91" t="s">
        <v>89</v>
      </c>
      <c r="D1422" s="91" t="s">
        <v>503</v>
      </c>
      <c r="E1422" s="92">
        <v>46137</v>
      </c>
      <c r="F1422" s="93">
        <v>0</v>
      </c>
      <c r="G1422" s="93">
        <v>47880</v>
      </c>
      <c r="H1422" s="94">
        <v>0</v>
      </c>
      <c r="I1422" s="95">
        <f t="shared" si="22"/>
        <v>0</v>
      </c>
      <c r="J1422" s="96">
        <v>46255</v>
      </c>
      <c r="K1422" s="97" t="s">
        <v>1003</v>
      </c>
      <c r="L1422" s="97" t="s">
        <v>382</v>
      </c>
      <c r="M1422" s="98" t="s">
        <v>20</v>
      </c>
      <c r="N1422" s="3">
        <v>46258</v>
      </c>
    </row>
    <row r="1423" spans="1:29">
      <c r="A1423" s="91" t="s">
        <v>1108</v>
      </c>
      <c r="B1423" s="91" t="s">
        <v>1109</v>
      </c>
      <c r="C1423" s="91" t="s">
        <v>16</v>
      </c>
      <c r="D1423" s="91" t="s">
        <v>503</v>
      </c>
      <c r="E1423" s="92">
        <v>46137</v>
      </c>
      <c r="F1423" s="93">
        <v>1140</v>
      </c>
      <c r="G1423" s="93">
        <v>1900</v>
      </c>
      <c r="H1423" s="94">
        <v>0</v>
      </c>
      <c r="I1423" s="95">
        <f t="shared" si="22"/>
        <v>-1140</v>
      </c>
      <c r="J1423" s="96">
        <v>46255</v>
      </c>
      <c r="K1423" s="97" t="s">
        <v>1003</v>
      </c>
      <c r="L1423" s="97" t="s">
        <v>382</v>
      </c>
      <c r="M1423" s="98" t="s">
        <v>20</v>
      </c>
      <c r="N1423" s="3">
        <v>46256</v>
      </c>
      <c r="O1423" s="1" t="s">
        <v>1110</v>
      </c>
    </row>
    <row r="1424" spans="1:29">
      <c r="A1424" s="91" t="s">
        <v>1108</v>
      </c>
      <c r="B1424" s="91" t="s">
        <v>1109</v>
      </c>
      <c r="C1424" s="102" t="s">
        <v>16</v>
      </c>
      <c r="D1424" s="103" t="s">
        <v>1111</v>
      </c>
      <c r="E1424" s="92">
        <v>46173</v>
      </c>
      <c r="F1424" s="93">
        <v>39520</v>
      </c>
      <c r="G1424" s="93">
        <v>17100</v>
      </c>
      <c r="H1424" s="94">
        <v>39520</v>
      </c>
      <c r="I1424" s="95">
        <f t="shared" si="22"/>
        <v>0</v>
      </c>
      <c r="J1424" s="96">
        <v>46255</v>
      </c>
      <c r="K1424" s="97" t="s">
        <v>1003</v>
      </c>
      <c r="L1424" s="97" t="s">
        <v>382</v>
      </c>
      <c r="M1424" s="98" t="s">
        <v>20</v>
      </c>
      <c r="N1424" s="3">
        <v>46256</v>
      </c>
    </row>
    <row r="1425" spans="1:14">
      <c r="A1425" s="91" t="s">
        <v>1112</v>
      </c>
      <c r="B1425" s="91" t="s">
        <v>1113</v>
      </c>
      <c r="C1425" s="91" t="s">
        <v>16</v>
      </c>
      <c r="D1425" s="91" t="s">
        <v>140</v>
      </c>
      <c r="E1425" s="92">
        <v>46056</v>
      </c>
      <c r="F1425" s="93">
        <v>10640</v>
      </c>
      <c r="G1425" s="93">
        <v>380</v>
      </c>
      <c r="H1425" s="94">
        <v>6840</v>
      </c>
      <c r="I1425" s="95">
        <f t="shared" si="22"/>
        <v>-3800</v>
      </c>
      <c r="J1425" s="96">
        <v>46255</v>
      </c>
      <c r="K1425" s="97" t="s">
        <v>1003</v>
      </c>
      <c r="L1425" s="97" t="s">
        <v>382</v>
      </c>
      <c r="M1425" s="98" t="s">
        <v>20</v>
      </c>
      <c r="N1425" s="3">
        <v>46256</v>
      </c>
    </row>
    <row r="1426" spans="1:14">
      <c r="A1426" s="91" t="s">
        <v>1112</v>
      </c>
      <c r="B1426" s="91" t="s">
        <v>1113</v>
      </c>
      <c r="C1426" s="91" t="s">
        <v>16</v>
      </c>
      <c r="D1426" s="91" t="s">
        <v>492</v>
      </c>
      <c r="E1426" s="92">
        <v>46227</v>
      </c>
      <c r="F1426" s="93">
        <v>3040</v>
      </c>
      <c r="G1426" s="93">
        <v>3040</v>
      </c>
      <c r="H1426" s="94">
        <v>3020</v>
      </c>
      <c r="I1426" s="95">
        <f t="shared" si="22"/>
        <v>-20</v>
      </c>
      <c r="J1426" s="96">
        <v>46255</v>
      </c>
      <c r="K1426" s="97" t="s">
        <v>1003</v>
      </c>
      <c r="L1426" s="97" t="s">
        <v>382</v>
      </c>
      <c r="M1426" s="98" t="s">
        <v>20</v>
      </c>
      <c r="N1426" s="3">
        <v>46256</v>
      </c>
    </row>
    <row r="1427" spans="1:14">
      <c r="A1427" s="4" t="s">
        <v>1112</v>
      </c>
      <c r="B1427" s="4" t="s">
        <v>1113</v>
      </c>
      <c r="C1427" s="4" t="s">
        <v>104</v>
      </c>
      <c r="D1427" s="4" t="s">
        <v>60</v>
      </c>
      <c r="E1427" s="3">
        <v>46244</v>
      </c>
      <c r="F1427" s="5">
        <v>29260</v>
      </c>
      <c r="G1427" s="5">
        <v>29260</v>
      </c>
      <c r="H1427" s="61">
        <v>29260</v>
      </c>
      <c r="I1427" s="6">
        <f t="shared" si="22"/>
        <v>0</v>
      </c>
      <c r="J1427" s="9">
        <v>46255</v>
      </c>
      <c r="K1427" s="31" t="s">
        <v>1003</v>
      </c>
      <c r="L1427" s="31" t="s">
        <v>382</v>
      </c>
      <c r="M1427" s="44" t="s">
        <v>20</v>
      </c>
      <c r="N1427" s="3">
        <v>46255</v>
      </c>
    </row>
    <row r="1428" spans="1:14">
      <c r="A1428" s="4" t="s">
        <v>1114</v>
      </c>
      <c r="B1428" s="4" t="s">
        <v>1115</v>
      </c>
      <c r="C1428" s="4" t="s">
        <v>23</v>
      </c>
      <c r="D1428" s="4" t="s">
        <v>460</v>
      </c>
      <c r="E1428" s="3">
        <v>46028</v>
      </c>
      <c r="F1428" s="5">
        <v>12920</v>
      </c>
      <c r="G1428" s="5">
        <v>12920</v>
      </c>
      <c r="H1428" s="61">
        <v>4560</v>
      </c>
      <c r="I1428" s="6">
        <f t="shared" si="22"/>
        <v>-8360</v>
      </c>
      <c r="J1428" s="9">
        <v>46255</v>
      </c>
      <c r="K1428" s="11" t="s">
        <v>1003</v>
      </c>
      <c r="L1428" s="11" t="s">
        <v>382</v>
      </c>
      <c r="M1428" s="44" t="s">
        <v>20</v>
      </c>
      <c r="N1428" s="3">
        <v>46259</v>
      </c>
    </row>
    <row r="1429" spans="1:14">
      <c r="A1429" s="4" t="s">
        <v>1114</v>
      </c>
      <c r="B1429" s="4" t="s">
        <v>1115</v>
      </c>
      <c r="C1429" s="83" t="s">
        <v>16</v>
      </c>
      <c r="D1429" s="83" t="s">
        <v>385</v>
      </c>
      <c r="E1429" s="3">
        <v>46057</v>
      </c>
      <c r="F1429" s="84">
        <v>33563</v>
      </c>
      <c r="G1429" s="5">
        <v>15879.440086000001</v>
      </c>
      <c r="H1429" s="85">
        <v>73720</v>
      </c>
      <c r="I1429" s="82">
        <f t="shared" si="22"/>
        <v>40157</v>
      </c>
      <c r="J1429" s="9">
        <v>46255</v>
      </c>
      <c r="K1429" s="11" t="s">
        <v>1003</v>
      </c>
      <c r="L1429" s="11" t="s">
        <v>382</v>
      </c>
      <c r="M1429" s="44" t="s">
        <v>20</v>
      </c>
      <c r="N1429" s="3">
        <v>46259</v>
      </c>
    </row>
    <row r="1430" spans="1:14">
      <c r="A1430" s="4" t="s">
        <v>1116</v>
      </c>
      <c r="B1430" s="4" t="s">
        <v>1117</v>
      </c>
      <c r="C1430" s="4" t="s">
        <v>16</v>
      </c>
      <c r="D1430" s="4" t="s">
        <v>400</v>
      </c>
      <c r="E1430" s="3">
        <v>46019</v>
      </c>
      <c r="F1430" s="5">
        <v>1055</v>
      </c>
      <c r="G1430" s="5">
        <v>1055</v>
      </c>
      <c r="H1430" s="61">
        <v>0</v>
      </c>
      <c r="I1430" s="6">
        <f t="shared" si="22"/>
        <v>-1055</v>
      </c>
      <c r="J1430" s="9">
        <v>46255</v>
      </c>
      <c r="K1430" s="11" t="s">
        <v>1003</v>
      </c>
      <c r="L1430" s="11" t="s">
        <v>382</v>
      </c>
      <c r="M1430" s="44" t="s">
        <v>20</v>
      </c>
      <c r="N1430" s="3">
        <v>46256</v>
      </c>
    </row>
    <row r="1431" spans="1:14">
      <c r="A1431" s="4" t="s">
        <v>1116</v>
      </c>
      <c r="B1431" s="4" t="s">
        <v>1117</v>
      </c>
      <c r="C1431" s="4" t="s">
        <v>16</v>
      </c>
      <c r="D1431" s="4" t="s">
        <v>39</v>
      </c>
      <c r="E1431" s="3">
        <v>46229</v>
      </c>
      <c r="F1431" s="5">
        <v>32385</v>
      </c>
      <c r="G1431" s="5">
        <v>32385</v>
      </c>
      <c r="H1431" s="61">
        <v>36100</v>
      </c>
      <c r="I1431" s="6">
        <f t="shared" si="22"/>
        <v>3715</v>
      </c>
      <c r="J1431" s="9">
        <v>46255</v>
      </c>
      <c r="K1431" s="11" t="s">
        <v>1003</v>
      </c>
      <c r="L1431" s="11" t="s">
        <v>382</v>
      </c>
      <c r="M1431" s="44" t="s">
        <v>20</v>
      </c>
      <c r="N1431" s="3">
        <v>46258</v>
      </c>
    </row>
    <row r="1432" spans="1:14">
      <c r="A1432" s="4" t="s">
        <v>1118</v>
      </c>
      <c r="B1432" s="4" t="s">
        <v>1119</v>
      </c>
      <c r="C1432" s="4" t="s">
        <v>16</v>
      </c>
      <c r="D1432" s="4" t="s">
        <v>1102</v>
      </c>
      <c r="E1432" s="3">
        <v>46159</v>
      </c>
      <c r="F1432" s="5">
        <v>53200</v>
      </c>
      <c r="G1432" s="5">
        <v>53200</v>
      </c>
      <c r="H1432" s="61">
        <v>38000</v>
      </c>
      <c r="I1432" s="6">
        <f t="shared" si="22"/>
        <v>-15200</v>
      </c>
      <c r="J1432" s="9">
        <v>46255</v>
      </c>
      <c r="K1432" s="11" t="s">
        <v>1003</v>
      </c>
      <c r="L1432" s="11" t="s">
        <v>382</v>
      </c>
      <c r="M1432" s="44" t="s">
        <v>20</v>
      </c>
      <c r="N1432" s="3">
        <v>46258</v>
      </c>
    </row>
    <row r="1433" spans="1:14">
      <c r="A1433" s="4" t="s">
        <v>1118</v>
      </c>
      <c r="B1433" s="4" t="s">
        <v>1119</v>
      </c>
      <c r="C1433" s="4" t="s">
        <v>25</v>
      </c>
      <c r="D1433" s="4" t="s">
        <v>1102</v>
      </c>
      <c r="E1433" s="3">
        <v>46159</v>
      </c>
      <c r="F1433" s="5">
        <v>0</v>
      </c>
      <c r="G1433" s="5">
        <v>5700</v>
      </c>
      <c r="H1433" s="61">
        <v>0</v>
      </c>
      <c r="I1433" s="6">
        <f t="shared" si="22"/>
        <v>0</v>
      </c>
      <c r="J1433" s="9">
        <v>46255</v>
      </c>
      <c r="K1433" s="11" t="s">
        <v>1003</v>
      </c>
      <c r="L1433" s="11" t="s">
        <v>382</v>
      </c>
      <c r="M1433" s="44" t="s">
        <v>20</v>
      </c>
      <c r="N1433" s="3">
        <v>46258</v>
      </c>
    </row>
    <row r="1434" spans="1:14">
      <c r="A1434" s="4" t="s">
        <v>1118</v>
      </c>
      <c r="B1434" s="4" t="s">
        <v>1119</v>
      </c>
      <c r="C1434" s="4" t="s">
        <v>16</v>
      </c>
      <c r="D1434" s="4" t="s">
        <v>224</v>
      </c>
      <c r="E1434" s="3">
        <v>46239</v>
      </c>
      <c r="F1434" s="5">
        <v>38380</v>
      </c>
      <c r="G1434" s="5">
        <v>76380</v>
      </c>
      <c r="H1434" s="61">
        <v>38000</v>
      </c>
      <c r="I1434" s="6">
        <f t="shared" ref="I1434:I1497" si="23">IF(H1434="","",H1434-F1434)</f>
        <v>-380</v>
      </c>
      <c r="J1434" s="9">
        <v>46255</v>
      </c>
      <c r="K1434" s="31" t="s">
        <v>1003</v>
      </c>
      <c r="L1434" s="31" t="s">
        <v>382</v>
      </c>
      <c r="M1434" s="44" t="s">
        <v>20</v>
      </c>
      <c r="N1434" s="3">
        <v>46256</v>
      </c>
    </row>
    <row r="1435" spans="1:14">
      <c r="A1435" s="4" t="s">
        <v>1120</v>
      </c>
      <c r="B1435" s="4" t="s">
        <v>1119</v>
      </c>
      <c r="C1435" s="4" t="s">
        <v>23</v>
      </c>
      <c r="D1435" s="4" t="s">
        <v>1102</v>
      </c>
      <c r="E1435" s="3">
        <v>46158</v>
      </c>
      <c r="F1435" s="5">
        <v>11020</v>
      </c>
      <c r="G1435" s="5">
        <v>6840</v>
      </c>
      <c r="H1435" s="61">
        <v>0</v>
      </c>
      <c r="I1435" s="6">
        <f t="shared" si="23"/>
        <v>-11020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>
      <c r="A1436" s="4" t="s">
        <v>1120</v>
      </c>
      <c r="B1436" s="4" t="s">
        <v>1119</v>
      </c>
      <c r="C1436" s="4" t="s">
        <v>16</v>
      </c>
      <c r="D1436" s="4" t="s">
        <v>534</v>
      </c>
      <c r="E1436" s="3">
        <v>46158</v>
      </c>
      <c r="F1436" s="5">
        <v>8360</v>
      </c>
      <c r="G1436" s="5">
        <v>2660</v>
      </c>
      <c r="H1436" s="61">
        <v>2660</v>
      </c>
      <c r="I1436" s="6">
        <f t="shared" si="23"/>
        <v>-5700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>
      <c r="A1437" s="4" t="s">
        <v>1120</v>
      </c>
      <c r="B1437" s="4" t="s">
        <v>1119</v>
      </c>
      <c r="C1437" s="4" t="s">
        <v>23</v>
      </c>
      <c r="D1437" s="4" t="s">
        <v>534</v>
      </c>
      <c r="E1437" s="3">
        <v>46158</v>
      </c>
      <c r="F1437" s="5">
        <v>6080</v>
      </c>
      <c r="G1437" s="5">
        <v>13300</v>
      </c>
      <c r="H1437" s="61">
        <v>0</v>
      </c>
      <c r="I1437" s="6">
        <f t="shared" si="23"/>
        <v>-6080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>
      <c r="A1438" s="4" t="s">
        <v>1120</v>
      </c>
      <c r="B1438" s="4" t="s">
        <v>1119</v>
      </c>
      <c r="C1438" s="4" t="s">
        <v>16</v>
      </c>
      <c r="D1438" s="4" t="s">
        <v>1102</v>
      </c>
      <c r="E1438" s="3">
        <v>46158</v>
      </c>
      <c r="F1438" s="5">
        <v>3420</v>
      </c>
      <c r="G1438" s="5">
        <v>3420</v>
      </c>
      <c r="H1438" s="61">
        <v>0</v>
      </c>
      <c r="I1438" s="6">
        <f t="shared" si="23"/>
        <v>-3420</v>
      </c>
      <c r="J1438" s="9">
        <v>46242</v>
      </c>
      <c r="K1438" s="31" t="s">
        <v>479</v>
      </c>
      <c r="L1438" s="31" t="s">
        <v>382</v>
      </c>
      <c r="M1438" s="44" t="s">
        <v>20</v>
      </c>
      <c r="N1438" s="3">
        <v>46256</v>
      </c>
    </row>
    <row r="1439" spans="1:14">
      <c r="A1439" s="4" t="s">
        <v>1120</v>
      </c>
      <c r="B1439" s="4" t="s">
        <v>1119</v>
      </c>
      <c r="C1439" s="4" t="s">
        <v>16</v>
      </c>
      <c r="D1439" s="4" t="s">
        <v>224</v>
      </c>
      <c r="E1439" s="3">
        <v>46240</v>
      </c>
      <c r="F1439" s="5">
        <v>165680</v>
      </c>
      <c r="G1439" s="5">
        <v>165680</v>
      </c>
      <c r="H1439" s="61">
        <v>211280</v>
      </c>
      <c r="I1439" s="6">
        <f t="shared" si="23"/>
        <v>45600</v>
      </c>
      <c r="J1439" s="9">
        <v>46242</v>
      </c>
      <c r="K1439" s="31" t="s">
        <v>479</v>
      </c>
      <c r="L1439" s="31" t="s">
        <v>382</v>
      </c>
      <c r="M1439" s="44" t="s">
        <v>20</v>
      </c>
      <c r="N1439" s="3">
        <v>46256</v>
      </c>
    </row>
    <row r="1440" spans="1:14">
      <c r="A1440" s="4" t="s">
        <v>1121</v>
      </c>
      <c r="B1440" s="4" t="s">
        <v>1122</v>
      </c>
      <c r="C1440" s="4" t="s">
        <v>16</v>
      </c>
      <c r="D1440" s="4" t="s">
        <v>156</v>
      </c>
      <c r="E1440" s="3">
        <v>46159</v>
      </c>
      <c r="F1440" s="5">
        <v>5320</v>
      </c>
      <c r="G1440" s="5">
        <v>5320</v>
      </c>
      <c r="H1440" s="61">
        <v>5320</v>
      </c>
      <c r="I1440" s="6">
        <f t="shared" si="23"/>
        <v>0</v>
      </c>
      <c r="J1440" s="118">
        <v>46255</v>
      </c>
      <c r="K1440" t="s">
        <v>908</v>
      </c>
      <c r="L1440" t="s">
        <v>109</v>
      </c>
      <c r="M1440" s="44" t="s">
        <v>20</v>
      </c>
      <c r="N1440" s="3">
        <v>46256</v>
      </c>
    </row>
    <row r="1441" spans="1:14">
      <c r="A1441" s="4" t="s">
        <v>1123</v>
      </c>
      <c r="B1441" s="4" t="s">
        <v>1122</v>
      </c>
      <c r="C1441" s="4" t="s">
        <v>16</v>
      </c>
      <c r="D1441" s="4" t="s">
        <v>156</v>
      </c>
      <c r="E1441" s="3">
        <v>46163</v>
      </c>
      <c r="F1441" s="5">
        <v>15960</v>
      </c>
      <c r="G1441" s="5">
        <v>15960</v>
      </c>
      <c r="H1441" s="61">
        <v>15960</v>
      </c>
      <c r="I1441" s="6">
        <f t="shared" si="23"/>
        <v>0</v>
      </c>
      <c r="J1441" s="9">
        <v>46255</v>
      </c>
      <c r="K1441" t="s">
        <v>908</v>
      </c>
      <c r="L1441" t="s">
        <v>109</v>
      </c>
      <c r="M1441" s="44" t="s">
        <v>20</v>
      </c>
      <c r="N1441" s="3">
        <v>46256</v>
      </c>
    </row>
    <row r="1442" spans="1:14">
      <c r="A1442" s="4" t="s">
        <v>1124</v>
      </c>
      <c r="B1442" s="4" t="s">
        <v>1125</v>
      </c>
      <c r="C1442" s="4" t="s">
        <v>16</v>
      </c>
      <c r="D1442" s="4" t="s">
        <v>1073</v>
      </c>
      <c r="E1442" s="3">
        <v>45978</v>
      </c>
      <c r="F1442" s="5">
        <v>1140</v>
      </c>
      <c r="G1442" s="5">
        <v>1140</v>
      </c>
      <c r="H1442" s="61"/>
      <c r="I1442" s="6" t="str">
        <f t="shared" si="23"/>
        <v/>
      </c>
      <c r="J1442" s="9"/>
      <c r="K1442" s="11"/>
      <c r="L1442" s="11"/>
      <c r="M1442" s="44" t="s">
        <v>909</v>
      </c>
      <c r="N1442" s="4"/>
    </row>
    <row r="1443" spans="1:14">
      <c r="A1443" s="4" t="s">
        <v>1124</v>
      </c>
      <c r="B1443" s="4" t="s">
        <v>1125</v>
      </c>
      <c r="C1443" s="4" t="s">
        <v>16</v>
      </c>
      <c r="D1443" s="4" t="s">
        <v>481</v>
      </c>
      <c r="E1443" s="3">
        <v>46031</v>
      </c>
      <c r="F1443" s="5">
        <v>5700</v>
      </c>
      <c r="G1443" s="5">
        <v>5700</v>
      </c>
      <c r="H1443" s="61">
        <v>1520</v>
      </c>
      <c r="I1443" s="6">
        <f t="shared" si="23"/>
        <v>-4180</v>
      </c>
      <c r="J1443" s="9">
        <v>46246</v>
      </c>
      <c r="K1443" s="11" t="s">
        <v>327</v>
      </c>
      <c r="L1443" s="11" t="s">
        <v>254</v>
      </c>
      <c r="M1443" s="44" t="s">
        <v>909</v>
      </c>
      <c r="N1443" s="4"/>
    </row>
    <row r="1444" spans="1:14">
      <c r="A1444" s="4" t="s">
        <v>1124</v>
      </c>
      <c r="B1444" s="4" t="s">
        <v>1125</v>
      </c>
      <c r="C1444" s="4" t="s">
        <v>25</v>
      </c>
      <c r="D1444" s="4" t="s">
        <v>1126</v>
      </c>
      <c r="E1444" s="3">
        <v>46031</v>
      </c>
      <c r="F1444" s="5">
        <v>1900</v>
      </c>
      <c r="G1444" s="5">
        <v>1900</v>
      </c>
      <c r="H1444" s="61"/>
      <c r="I1444" s="6" t="str">
        <f t="shared" si="23"/>
        <v/>
      </c>
      <c r="J1444" s="9"/>
      <c r="K1444" s="11"/>
      <c r="L1444" s="11"/>
      <c r="M1444" s="44" t="s">
        <v>909</v>
      </c>
      <c r="N1444" s="4"/>
    </row>
    <row r="1445" spans="1:14">
      <c r="A1445" s="4" t="s">
        <v>1124</v>
      </c>
      <c r="B1445" s="4" t="s">
        <v>1125</v>
      </c>
      <c r="C1445" s="4" t="s">
        <v>16</v>
      </c>
      <c r="D1445" s="4" t="s">
        <v>183</v>
      </c>
      <c r="E1445" s="3">
        <v>46065</v>
      </c>
      <c r="F1445" s="5">
        <v>2660</v>
      </c>
      <c r="G1445" s="5">
        <v>2660</v>
      </c>
      <c r="H1445" s="61"/>
      <c r="I1445" s="6" t="str">
        <f t="shared" si="23"/>
        <v/>
      </c>
      <c r="J1445" s="9"/>
      <c r="K1445" s="11"/>
      <c r="L1445" s="11"/>
      <c r="M1445" s="44" t="s">
        <v>909</v>
      </c>
      <c r="N1445" s="4"/>
    </row>
    <row r="1446" spans="1:14">
      <c r="A1446" s="4" t="s">
        <v>1124</v>
      </c>
      <c r="B1446" s="4" t="s">
        <v>1125</v>
      </c>
      <c r="C1446" s="4" t="s">
        <v>25</v>
      </c>
      <c r="D1446" s="4" t="s">
        <v>627</v>
      </c>
      <c r="E1446" s="3">
        <v>46126</v>
      </c>
      <c r="F1446" s="5">
        <v>37238.1</v>
      </c>
      <c r="G1446" s="5">
        <v>37238.1</v>
      </c>
      <c r="H1446" s="61"/>
      <c r="I1446" s="6" t="str">
        <f t="shared" si="23"/>
        <v/>
      </c>
      <c r="J1446" s="9"/>
      <c r="K1446" s="11"/>
      <c r="L1446" s="11"/>
      <c r="M1446" s="44" t="s">
        <v>909</v>
      </c>
      <c r="N1446" s="4"/>
    </row>
    <row r="1447" spans="1:14">
      <c r="A1447" s="4" t="s">
        <v>1124</v>
      </c>
      <c r="B1447" s="4" t="s">
        <v>1125</v>
      </c>
      <c r="C1447" s="4" t="s">
        <v>16</v>
      </c>
      <c r="D1447" s="4" t="s">
        <v>156</v>
      </c>
      <c r="E1447" s="3">
        <v>46161</v>
      </c>
      <c r="F1447" s="5">
        <v>95000</v>
      </c>
      <c r="G1447" s="5">
        <v>94064</v>
      </c>
      <c r="H1447" s="61"/>
      <c r="I1447" s="6" t="str">
        <f t="shared" si="23"/>
        <v/>
      </c>
      <c r="J1447" s="9"/>
      <c r="K1447" s="11"/>
      <c r="L1447" s="11"/>
      <c r="M1447" s="44" t="s">
        <v>909</v>
      </c>
      <c r="N1447" s="4"/>
    </row>
    <row r="1448" spans="1:14">
      <c r="A1448" s="4" t="s">
        <v>1124</v>
      </c>
      <c r="B1448" s="4" t="s">
        <v>1125</v>
      </c>
      <c r="C1448" s="4" t="s">
        <v>16</v>
      </c>
      <c r="D1448" s="4" t="s">
        <v>516</v>
      </c>
      <c r="E1448" s="3">
        <v>46162</v>
      </c>
      <c r="F1448" s="5">
        <v>25822.9</v>
      </c>
      <c r="G1448" s="5">
        <v>25822.9</v>
      </c>
      <c r="H1448" s="61"/>
      <c r="I1448" s="6" t="str">
        <f t="shared" si="23"/>
        <v/>
      </c>
      <c r="J1448" s="9"/>
      <c r="K1448" s="11"/>
      <c r="L1448" s="11"/>
      <c r="M1448" s="44" t="s">
        <v>909</v>
      </c>
      <c r="N1448" s="4"/>
    </row>
    <row r="1449" spans="1:14">
      <c r="A1449" s="4" t="s">
        <v>1124</v>
      </c>
      <c r="B1449" s="4" t="s">
        <v>1125</v>
      </c>
      <c r="C1449" s="4" t="s">
        <v>25</v>
      </c>
      <c r="D1449" s="4" t="s">
        <v>316</v>
      </c>
      <c r="E1449" s="3">
        <v>46181</v>
      </c>
      <c r="F1449" s="5">
        <v>49020</v>
      </c>
      <c r="G1449" s="5">
        <v>49020</v>
      </c>
      <c r="H1449" s="61"/>
      <c r="I1449" s="6" t="str">
        <f t="shared" si="23"/>
        <v/>
      </c>
      <c r="J1449" s="9"/>
      <c r="K1449" s="11"/>
      <c r="L1449" s="11"/>
      <c r="M1449" s="44" t="s">
        <v>909</v>
      </c>
      <c r="N1449" s="4"/>
    </row>
    <row r="1450" spans="1:14">
      <c r="A1450" s="4" t="s">
        <v>1124</v>
      </c>
      <c r="B1450" s="4" t="s">
        <v>1125</v>
      </c>
      <c r="C1450" s="4" t="s">
        <v>16</v>
      </c>
      <c r="D1450" s="4" t="s">
        <v>316</v>
      </c>
      <c r="E1450" s="3">
        <v>46181</v>
      </c>
      <c r="F1450" s="5">
        <v>26600</v>
      </c>
      <c r="G1450" s="5">
        <v>24700</v>
      </c>
      <c r="H1450" s="61">
        <v>20520</v>
      </c>
      <c r="I1450" s="6">
        <f t="shared" si="23"/>
        <v>-6080</v>
      </c>
      <c r="J1450" s="9">
        <v>46246</v>
      </c>
      <c r="K1450" s="11" t="s">
        <v>327</v>
      </c>
      <c r="L1450" s="11" t="s">
        <v>254</v>
      </c>
      <c r="M1450" s="44" t="s">
        <v>909</v>
      </c>
      <c r="N1450" s="4"/>
    </row>
    <row r="1451" spans="1:14">
      <c r="A1451" s="4" t="s">
        <v>1127</v>
      </c>
      <c r="B1451" s="4" t="s">
        <v>1128</v>
      </c>
      <c r="C1451" s="4" t="s">
        <v>16</v>
      </c>
      <c r="D1451" s="4" t="s">
        <v>361</v>
      </c>
      <c r="E1451" s="3">
        <v>46068</v>
      </c>
      <c r="F1451" s="5">
        <v>2660</v>
      </c>
      <c r="G1451" s="5">
        <v>2660</v>
      </c>
      <c r="H1451" s="61">
        <v>0</v>
      </c>
      <c r="I1451" s="6">
        <f t="shared" si="23"/>
        <v>-2660</v>
      </c>
      <c r="J1451" s="9">
        <v>46255</v>
      </c>
      <c r="K1451" t="s">
        <v>1129</v>
      </c>
      <c r="L1451" t="s">
        <v>109</v>
      </c>
      <c r="M1451" s="44" t="s">
        <v>20</v>
      </c>
      <c r="N1451" s="3">
        <v>46258</v>
      </c>
    </row>
    <row r="1452" spans="1:14">
      <c r="A1452" s="4" t="s">
        <v>1127</v>
      </c>
      <c r="B1452" s="4" t="s">
        <v>1128</v>
      </c>
      <c r="C1452" s="4" t="s">
        <v>16</v>
      </c>
      <c r="D1452" s="4" t="s">
        <v>183</v>
      </c>
      <c r="E1452" s="3">
        <v>46068</v>
      </c>
      <c r="F1452" s="5">
        <v>7216.58</v>
      </c>
      <c r="G1452" s="5">
        <v>5700</v>
      </c>
      <c r="H1452" s="61">
        <v>0</v>
      </c>
      <c r="I1452" s="6">
        <f t="shared" si="23"/>
        <v>-7216.58</v>
      </c>
      <c r="J1452" s="9">
        <v>46255</v>
      </c>
      <c r="K1452" s="11" t="s">
        <v>1129</v>
      </c>
      <c r="L1452" s="11" t="s">
        <v>109</v>
      </c>
      <c r="M1452" s="119" t="s">
        <v>20</v>
      </c>
      <c r="N1452" s="3">
        <v>46272</v>
      </c>
    </row>
    <row r="1453" spans="1:14">
      <c r="A1453" s="4" t="s">
        <v>1127</v>
      </c>
      <c r="B1453" s="4" t="s">
        <v>1128</v>
      </c>
      <c r="C1453" s="4" t="s">
        <v>16</v>
      </c>
      <c r="D1453" s="4" t="s">
        <v>1130</v>
      </c>
      <c r="E1453" s="3">
        <v>46113</v>
      </c>
      <c r="F1453" s="5">
        <v>1900</v>
      </c>
      <c r="G1453" s="5">
        <v>1900</v>
      </c>
      <c r="H1453" s="61">
        <v>0</v>
      </c>
      <c r="I1453" s="6">
        <f t="shared" si="23"/>
        <v>-1900</v>
      </c>
      <c r="J1453" s="9">
        <v>46255</v>
      </c>
      <c r="K1453" s="11" t="s">
        <v>1129</v>
      </c>
      <c r="L1453" s="11" t="s">
        <v>109</v>
      </c>
      <c r="M1453" s="44" t="s">
        <v>20</v>
      </c>
      <c r="N1453" s="3">
        <v>46258</v>
      </c>
    </row>
    <row r="1454" spans="1:14">
      <c r="A1454" s="4" t="s">
        <v>1127</v>
      </c>
      <c r="B1454" s="4" t="s">
        <v>1128</v>
      </c>
      <c r="C1454" s="4" t="s">
        <v>23</v>
      </c>
      <c r="D1454" s="4" t="s">
        <v>1130</v>
      </c>
      <c r="E1454" s="3">
        <v>46113</v>
      </c>
      <c r="F1454" s="5">
        <v>5700</v>
      </c>
      <c r="G1454" s="5">
        <v>5700</v>
      </c>
      <c r="H1454" s="61">
        <v>0</v>
      </c>
      <c r="I1454" s="6">
        <f t="shared" si="23"/>
        <v>-5700</v>
      </c>
      <c r="J1454" s="9">
        <v>46255</v>
      </c>
      <c r="K1454" s="11" t="s">
        <v>1129</v>
      </c>
      <c r="L1454" s="11" t="s">
        <v>109</v>
      </c>
      <c r="M1454" s="119" t="s">
        <v>20</v>
      </c>
      <c r="N1454" s="3">
        <v>46272</v>
      </c>
    </row>
    <row r="1455" spans="1:14">
      <c r="A1455" s="4" t="s">
        <v>1127</v>
      </c>
      <c r="B1455" s="4" t="s">
        <v>1128</v>
      </c>
      <c r="C1455" s="4" t="s">
        <v>25</v>
      </c>
      <c r="D1455" s="4" t="s">
        <v>1130</v>
      </c>
      <c r="E1455" s="3">
        <v>46113</v>
      </c>
      <c r="F1455" s="5">
        <v>38000</v>
      </c>
      <c r="G1455" s="5">
        <v>38000</v>
      </c>
      <c r="H1455" s="61">
        <v>0</v>
      </c>
      <c r="I1455" s="6">
        <f t="shared" si="23"/>
        <v>-38000</v>
      </c>
      <c r="J1455" s="9">
        <v>46255</v>
      </c>
      <c r="K1455" s="11" t="s">
        <v>1129</v>
      </c>
      <c r="L1455" s="11" t="s">
        <v>109</v>
      </c>
      <c r="M1455" s="119" t="s">
        <v>20</v>
      </c>
      <c r="N1455" s="3">
        <v>46258</v>
      </c>
    </row>
    <row r="1456" spans="1:14">
      <c r="A1456" s="4" t="s">
        <v>1127</v>
      </c>
      <c r="B1456" s="4" t="s">
        <v>1128</v>
      </c>
      <c r="C1456" s="4" t="s">
        <v>25</v>
      </c>
      <c r="D1456" s="4" t="s">
        <v>156</v>
      </c>
      <c r="E1456" s="3">
        <v>46160</v>
      </c>
      <c r="F1456" s="5">
        <v>34200</v>
      </c>
      <c r="G1456" s="5">
        <v>34200</v>
      </c>
      <c r="H1456" s="61">
        <v>0</v>
      </c>
      <c r="I1456" s="6">
        <f t="shared" si="23"/>
        <v>-34200</v>
      </c>
      <c r="J1456" s="9">
        <v>46255</v>
      </c>
      <c r="K1456" s="11" t="s">
        <v>1129</v>
      </c>
      <c r="L1456" s="11" t="s">
        <v>109</v>
      </c>
      <c r="M1456" s="119" t="s">
        <v>20</v>
      </c>
      <c r="N1456" s="3">
        <v>46258</v>
      </c>
    </row>
    <row r="1457" spans="1:14">
      <c r="A1457" s="4" t="s">
        <v>1127</v>
      </c>
      <c r="B1457" s="4" t="s">
        <v>1128</v>
      </c>
      <c r="C1457" s="4" t="s">
        <v>16</v>
      </c>
      <c r="D1457" s="4" t="s">
        <v>156</v>
      </c>
      <c r="E1457" s="3">
        <v>46160</v>
      </c>
      <c r="F1457" s="5">
        <v>8740</v>
      </c>
      <c r="G1457" s="5">
        <v>8740</v>
      </c>
      <c r="H1457" s="61">
        <v>48260</v>
      </c>
      <c r="I1457" s="6">
        <f t="shared" si="23"/>
        <v>39520</v>
      </c>
      <c r="J1457" s="9">
        <v>46255</v>
      </c>
      <c r="K1457" s="11" t="s">
        <v>1129</v>
      </c>
      <c r="L1457" s="11" t="s">
        <v>109</v>
      </c>
      <c r="M1457" s="44" t="s">
        <v>20</v>
      </c>
      <c r="N1457" s="121">
        <v>46259</v>
      </c>
    </row>
    <row r="1458" spans="1:14">
      <c r="A1458" s="4" t="s">
        <v>1127</v>
      </c>
      <c r="B1458" s="4" t="s">
        <v>1128</v>
      </c>
      <c r="C1458" s="4" t="s">
        <v>16</v>
      </c>
      <c r="D1458" s="4" t="s">
        <v>316</v>
      </c>
      <c r="E1458" s="3">
        <v>46181</v>
      </c>
      <c r="F1458" s="5">
        <v>23560</v>
      </c>
      <c r="G1458" s="5">
        <v>30400</v>
      </c>
      <c r="H1458" s="61">
        <v>9880</v>
      </c>
      <c r="I1458" s="6">
        <f t="shared" si="23"/>
        <v>-13680</v>
      </c>
      <c r="J1458" s="9">
        <v>46255</v>
      </c>
      <c r="K1458" s="11" t="s">
        <v>1129</v>
      </c>
      <c r="L1458" s="11" t="s">
        <v>109</v>
      </c>
      <c r="M1458" s="119" t="s">
        <v>20</v>
      </c>
      <c r="N1458" s="3">
        <v>46272</v>
      </c>
    </row>
    <row r="1459" spans="1:14">
      <c r="A1459" s="4" t="s">
        <v>1127</v>
      </c>
      <c r="B1459" s="4" t="s">
        <v>1128</v>
      </c>
      <c r="C1459" s="4" t="s">
        <v>16</v>
      </c>
      <c r="D1459" s="80" t="s">
        <v>649</v>
      </c>
      <c r="E1459" s="3"/>
      <c r="F1459" s="81">
        <v>76000</v>
      </c>
      <c r="G1459" s="5"/>
      <c r="H1459" s="61">
        <v>28500</v>
      </c>
      <c r="I1459" s="6">
        <f>IF(H1459="","",H1459-F1459)</f>
        <v>-47500</v>
      </c>
      <c r="J1459" s="9">
        <v>46255</v>
      </c>
      <c r="K1459" s="11" t="s">
        <v>1129</v>
      </c>
      <c r="L1459" s="11" t="s">
        <v>109</v>
      </c>
      <c r="M1459" s="44" t="s">
        <v>20</v>
      </c>
      <c r="N1459" s="3">
        <v>46259</v>
      </c>
    </row>
    <row r="1460" spans="1:14">
      <c r="A1460" s="4" t="s">
        <v>1131</v>
      </c>
      <c r="B1460" s="4" t="s">
        <v>1132</v>
      </c>
      <c r="C1460" s="4" t="s">
        <v>16</v>
      </c>
      <c r="D1460" s="4" t="s">
        <v>883</v>
      </c>
      <c r="E1460" s="3">
        <v>46039</v>
      </c>
      <c r="F1460" s="5">
        <v>2280</v>
      </c>
      <c r="G1460" s="5">
        <v>2280</v>
      </c>
      <c r="H1460" s="61">
        <v>0</v>
      </c>
      <c r="I1460" s="6">
        <f t="shared" si="23"/>
        <v>-2280</v>
      </c>
      <c r="J1460" s="9"/>
      <c r="K1460" s="11"/>
      <c r="L1460" s="11"/>
      <c r="M1460" s="44" t="s">
        <v>20</v>
      </c>
      <c r="N1460" s="3">
        <v>46275</v>
      </c>
    </row>
    <row r="1461" spans="1:14">
      <c r="A1461" s="4" t="s">
        <v>1133</v>
      </c>
      <c r="B1461" s="4" t="s">
        <v>1134</v>
      </c>
      <c r="C1461" s="4" t="s">
        <v>16</v>
      </c>
      <c r="D1461" s="4" t="s">
        <v>30</v>
      </c>
      <c r="E1461" s="3">
        <v>46199</v>
      </c>
      <c r="F1461" s="5">
        <v>78280</v>
      </c>
      <c r="G1461" s="5">
        <v>70680</v>
      </c>
      <c r="H1461" s="61"/>
      <c r="I1461" s="6" t="str">
        <f t="shared" si="23"/>
        <v/>
      </c>
      <c r="J1461" s="9"/>
      <c r="K1461" s="11"/>
      <c r="L1461" s="11"/>
      <c r="M1461" s="44" t="s">
        <v>909</v>
      </c>
      <c r="N1461" s="4"/>
    </row>
    <row r="1462" spans="1:14">
      <c r="A1462" s="4" t="s">
        <v>1133</v>
      </c>
      <c r="B1462" s="4" t="s">
        <v>1134</v>
      </c>
      <c r="C1462" s="4" t="s">
        <v>16</v>
      </c>
      <c r="D1462" s="4" t="s">
        <v>60</v>
      </c>
      <c r="E1462" s="3">
        <v>46244</v>
      </c>
      <c r="F1462" s="5">
        <v>72200</v>
      </c>
      <c r="G1462" s="5">
        <v>72200</v>
      </c>
      <c r="H1462" s="61"/>
      <c r="I1462" s="6" t="str">
        <f t="shared" si="23"/>
        <v/>
      </c>
      <c r="J1462" s="9"/>
      <c r="K1462" s="11"/>
      <c r="L1462" s="11"/>
      <c r="M1462" s="44" t="s">
        <v>909</v>
      </c>
      <c r="N1462" s="4"/>
    </row>
    <row r="1463" spans="1:14">
      <c r="A1463" s="4" t="s">
        <v>1135</v>
      </c>
      <c r="B1463" s="4" t="s">
        <v>1136</v>
      </c>
      <c r="C1463" s="4" t="s">
        <v>16</v>
      </c>
      <c r="D1463" s="4" t="s">
        <v>500</v>
      </c>
      <c r="E1463" s="3">
        <v>46059</v>
      </c>
      <c r="F1463" s="5">
        <v>9880</v>
      </c>
      <c r="G1463" s="5">
        <v>9880</v>
      </c>
      <c r="H1463" s="61">
        <v>0</v>
      </c>
      <c r="I1463" s="6">
        <f t="shared" si="23"/>
        <v>-9880</v>
      </c>
      <c r="J1463" s="9"/>
      <c r="K1463" s="11"/>
      <c r="L1463" s="11"/>
      <c r="M1463" s="44" t="s">
        <v>20</v>
      </c>
      <c r="N1463" s="3">
        <v>46275</v>
      </c>
    </row>
    <row r="1464" spans="1:14">
      <c r="A1464" s="4" t="s">
        <v>1135</v>
      </c>
      <c r="B1464" s="4" t="s">
        <v>1136</v>
      </c>
      <c r="C1464" s="4" t="s">
        <v>23</v>
      </c>
      <c r="D1464" s="4" t="s">
        <v>500</v>
      </c>
      <c r="E1464" s="3">
        <v>46059</v>
      </c>
      <c r="F1464" s="5">
        <v>17700</v>
      </c>
      <c r="G1464" s="5">
        <v>19000</v>
      </c>
      <c r="H1464" s="61">
        <v>0</v>
      </c>
      <c r="I1464" s="6">
        <f t="shared" si="23"/>
        <v>-17700</v>
      </c>
      <c r="J1464" s="9"/>
      <c r="K1464" s="11"/>
      <c r="L1464" s="11"/>
      <c r="M1464" s="44" t="s">
        <v>20</v>
      </c>
      <c r="N1464" s="3">
        <v>46275</v>
      </c>
    </row>
    <row r="1465" spans="1:14">
      <c r="A1465" s="4" t="s">
        <v>1135</v>
      </c>
      <c r="B1465" s="4" t="s">
        <v>1136</v>
      </c>
      <c r="C1465" s="4" t="s">
        <v>16</v>
      </c>
      <c r="D1465" s="4" t="s">
        <v>30</v>
      </c>
      <c r="E1465" s="3">
        <v>46198</v>
      </c>
      <c r="F1465" s="5">
        <v>5700</v>
      </c>
      <c r="G1465" s="5">
        <v>5700</v>
      </c>
      <c r="H1465" s="61">
        <v>9120</v>
      </c>
      <c r="I1465" s="6">
        <f t="shared" si="23"/>
        <v>3420</v>
      </c>
      <c r="J1465" s="56">
        <v>46248</v>
      </c>
      <c r="K1465" s="35" t="s">
        <v>388</v>
      </c>
      <c r="L1465" s="35" t="s">
        <v>254</v>
      </c>
      <c r="M1465" s="44" t="s">
        <v>20</v>
      </c>
      <c r="N1465" s="3">
        <v>46275</v>
      </c>
    </row>
    <row r="1466" spans="1:14">
      <c r="A1466" s="4" t="s">
        <v>1135</v>
      </c>
      <c r="B1466" s="4" t="s">
        <v>1136</v>
      </c>
      <c r="C1466" s="4" t="s">
        <v>23</v>
      </c>
      <c r="D1466" s="4" t="s">
        <v>30</v>
      </c>
      <c r="E1466" s="3">
        <v>46198</v>
      </c>
      <c r="F1466" s="5">
        <v>9500</v>
      </c>
      <c r="G1466" s="5">
        <v>10260</v>
      </c>
      <c r="H1466" s="61">
        <v>0</v>
      </c>
      <c r="I1466" s="6">
        <f t="shared" si="23"/>
        <v>-9500</v>
      </c>
      <c r="J1466" s="9"/>
      <c r="K1466" s="11"/>
      <c r="L1466" s="11"/>
      <c r="M1466" s="44" t="s">
        <v>20</v>
      </c>
      <c r="N1466" s="3">
        <v>46275</v>
      </c>
    </row>
    <row r="1467" spans="1:14">
      <c r="A1467" s="34" t="s">
        <v>1137</v>
      </c>
      <c r="B1467" s="34" t="s">
        <v>1138</v>
      </c>
      <c r="C1467" s="34" t="s">
        <v>23</v>
      </c>
      <c r="D1467" s="34" t="s">
        <v>140</v>
      </c>
      <c r="E1467" s="57">
        <v>46061</v>
      </c>
      <c r="F1467" s="58">
        <v>14820</v>
      </c>
      <c r="G1467" s="58">
        <v>9880</v>
      </c>
      <c r="H1467" s="66">
        <v>9120</v>
      </c>
      <c r="I1467" s="59">
        <f t="shared" si="23"/>
        <v>-5700</v>
      </c>
      <c r="J1467" s="56">
        <v>46248</v>
      </c>
      <c r="K1467" s="35" t="s">
        <v>388</v>
      </c>
      <c r="L1467" s="35" t="s">
        <v>254</v>
      </c>
      <c r="M1467" s="120" t="s">
        <v>20</v>
      </c>
      <c r="N1467" s="3">
        <v>46272</v>
      </c>
    </row>
    <row r="1468" spans="1:14">
      <c r="A1468" s="4" t="s">
        <v>1137</v>
      </c>
      <c r="B1468" s="4" t="s">
        <v>1138</v>
      </c>
      <c r="C1468" s="4" t="s">
        <v>16</v>
      </c>
      <c r="D1468" s="4" t="s">
        <v>30</v>
      </c>
      <c r="E1468" s="3">
        <v>46198</v>
      </c>
      <c r="F1468" s="5">
        <v>14440</v>
      </c>
      <c r="G1468" s="5">
        <v>14440</v>
      </c>
      <c r="H1468" s="61">
        <v>14440</v>
      </c>
      <c r="I1468" s="6">
        <f t="shared" si="23"/>
        <v>0</v>
      </c>
      <c r="J1468" s="9">
        <v>46248</v>
      </c>
      <c r="K1468" s="11" t="s">
        <v>388</v>
      </c>
      <c r="L1468" s="11" t="s">
        <v>254</v>
      </c>
      <c r="M1468" s="119" t="s">
        <v>20</v>
      </c>
      <c r="N1468" s="3">
        <v>46272</v>
      </c>
    </row>
    <row r="1469" spans="1:14">
      <c r="A1469" s="4" t="s">
        <v>1139</v>
      </c>
      <c r="B1469" s="4" t="s">
        <v>1140</v>
      </c>
      <c r="C1469" s="4" t="s">
        <v>16</v>
      </c>
      <c r="D1469" s="4" t="s">
        <v>153</v>
      </c>
      <c r="E1469" s="3">
        <v>46151</v>
      </c>
      <c r="F1469" s="5">
        <v>1572</v>
      </c>
      <c r="G1469" s="5">
        <v>1572</v>
      </c>
      <c r="H1469" s="61">
        <v>0</v>
      </c>
      <c r="I1469" s="6">
        <f t="shared" si="23"/>
        <v>-1572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>
      <c r="A1470" s="4" t="s">
        <v>1139</v>
      </c>
      <c r="B1470" s="4" t="s">
        <v>1140</v>
      </c>
      <c r="C1470" s="4" t="s">
        <v>23</v>
      </c>
      <c r="D1470" s="4" t="s">
        <v>153</v>
      </c>
      <c r="E1470" s="3">
        <v>46151</v>
      </c>
      <c r="F1470" s="5">
        <v>1900</v>
      </c>
      <c r="G1470" s="5">
        <v>3450</v>
      </c>
      <c r="H1470" s="61">
        <v>0</v>
      </c>
      <c r="I1470" s="6">
        <f t="shared" si="23"/>
        <v>-1900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>
      <c r="A1471" s="4" t="s">
        <v>1139</v>
      </c>
      <c r="B1471" s="4" t="s">
        <v>1140</v>
      </c>
      <c r="C1471" s="4" t="s">
        <v>16</v>
      </c>
      <c r="D1471" s="4" t="s">
        <v>367</v>
      </c>
      <c r="E1471" s="3">
        <v>46225</v>
      </c>
      <c r="F1471" s="5">
        <v>6840</v>
      </c>
      <c r="G1471" s="5">
        <v>6840</v>
      </c>
      <c r="H1471" s="61">
        <v>6840</v>
      </c>
      <c r="I1471" s="6">
        <f t="shared" si="23"/>
        <v>0</v>
      </c>
      <c r="J1471" s="9">
        <v>46254</v>
      </c>
      <c r="K1471" s="11" t="s">
        <v>159</v>
      </c>
      <c r="L1471" s="11" t="s">
        <v>109</v>
      </c>
      <c r="M1471" s="44" t="s">
        <v>20</v>
      </c>
      <c r="N1471" s="3">
        <v>46255</v>
      </c>
    </row>
    <row r="1472" spans="1:14">
      <c r="A1472" s="4" t="s">
        <v>1141</v>
      </c>
      <c r="B1472" s="4" t="s">
        <v>1142</v>
      </c>
      <c r="C1472" s="4" t="s">
        <v>23</v>
      </c>
      <c r="D1472" s="4" t="s">
        <v>153</v>
      </c>
      <c r="E1472" s="3">
        <v>46151</v>
      </c>
      <c r="F1472" s="5">
        <v>3800</v>
      </c>
      <c r="G1472" s="5">
        <v>3800</v>
      </c>
      <c r="H1472" s="61">
        <v>0</v>
      </c>
      <c r="I1472" s="6">
        <f t="shared" si="23"/>
        <v>-3800</v>
      </c>
      <c r="J1472" s="9"/>
      <c r="K1472" s="11"/>
      <c r="L1472" s="11"/>
      <c r="M1472" s="44" t="s">
        <v>20</v>
      </c>
      <c r="N1472" s="3">
        <v>46275</v>
      </c>
    </row>
    <row r="1473" spans="1:14">
      <c r="A1473" s="4" t="s">
        <v>1141</v>
      </c>
      <c r="B1473" s="4" t="s">
        <v>1142</v>
      </c>
      <c r="C1473" s="4" t="s">
        <v>16</v>
      </c>
      <c r="D1473" s="4" t="s">
        <v>153</v>
      </c>
      <c r="E1473" s="3">
        <v>46151</v>
      </c>
      <c r="F1473" s="5">
        <v>10640</v>
      </c>
      <c r="G1473" s="5">
        <v>12540</v>
      </c>
      <c r="H1473" s="61">
        <v>14440</v>
      </c>
      <c r="I1473" s="6">
        <f t="shared" si="23"/>
        <v>3800</v>
      </c>
      <c r="J1473" s="9"/>
      <c r="K1473" s="11"/>
      <c r="L1473" s="11"/>
      <c r="M1473" s="44" t="s">
        <v>20</v>
      </c>
      <c r="N1473" s="3">
        <v>46275</v>
      </c>
    </row>
    <row r="1474" spans="1:14">
      <c r="A1474" s="4" t="s">
        <v>1141</v>
      </c>
      <c r="B1474" s="4" t="s">
        <v>1142</v>
      </c>
      <c r="C1474" s="4" t="s">
        <v>16</v>
      </c>
      <c r="D1474" s="4" t="s">
        <v>367</v>
      </c>
      <c r="E1474" s="3">
        <v>46223</v>
      </c>
      <c r="F1474" s="5">
        <v>21280</v>
      </c>
      <c r="G1474" s="5">
        <v>43700</v>
      </c>
      <c r="H1474" s="61">
        <v>21660</v>
      </c>
      <c r="I1474" s="6">
        <f t="shared" si="23"/>
        <v>380</v>
      </c>
      <c r="J1474" s="9"/>
      <c r="K1474" s="11"/>
      <c r="L1474" s="11"/>
      <c r="M1474" s="44" t="s">
        <v>20</v>
      </c>
      <c r="N1474" s="3">
        <v>46275</v>
      </c>
    </row>
    <row r="1475" spans="1:14">
      <c r="A1475" s="4" t="s">
        <v>1141</v>
      </c>
      <c r="B1475" s="4" t="s">
        <v>1142</v>
      </c>
      <c r="C1475" s="4" t="s">
        <v>16</v>
      </c>
      <c r="D1475" s="4" t="s">
        <v>1143</v>
      </c>
      <c r="E1475" s="3">
        <v>46223</v>
      </c>
      <c r="F1475" s="5">
        <v>0</v>
      </c>
      <c r="G1475" s="5">
        <v>5700</v>
      </c>
      <c r="H1475" s="61">
        <v>0</v>
      </c>
      <c r="I1475" s="6">
        <f t="shared" si="23"/>
        <v>0</v>
      </c>
      <c r="J1475" s="9"/>
      <c r="K1475" s="11"/>
      <c r="L1475" s="11"/>
      <c r="M1475" s="44" t="s">
        <v>20</v>
      </c>
      <c r="N1475" s="3">
        <v>46275</v>
      </c>
    </row>
    <row r="1476" spans="1:14">
      <c r="A1476" s="4" t="s">
        <v>1144</v>
      </c>
      <c r="B1476" s="4" t="s">
        <v>1145</v>
      </c>
      <c r="C1476" s="4" t="s">
        <v>89</v>
      </c>
      <c r="D1476" s="4" t="s">
        <v>52</v>
      </c>
      <c r="E1476" s="3">
        <v>46065</v>
      </c>
      <c r="F1476" s="5">
        <v>0</v>
      </c>
      <c r="G1476" s="5">
        <v>1140</v>
      </c>
      <c r="H1476" s="61">
        <v>0</v>
      </c>
      <c r="I1476" s="6">
        <f t="shared" si="23"/>
        <v>0</v>
      </c>
      <c r="J1476" s="9">
        <v>46254</v>
      </c>
      <c r="K1476" s="11" t="s">
        <v>1003</v>
      </c>
      <c r="L1476" s="11" t="s">
        <v>109</v>
      </c>
      <c r="M1476" s="119" t="s">
        <v>20</v>
      </c>
      <c r="N1476" s="3">
        <v>46255</v>
      </c>
    </row>
    <row r="1477" spans="1:14">
      <c r="A1477" s="4" t="s">
        <v>1144</v>
      </c>
      <c r="B1477" s="4" t="s">
        <v>1145</v>
      </c>
      <c r="C1477" s="4" t="s">
        <v>16</v>
      </c>
      <c r="D1477" s="4" t="s">
        <v>52</v>
      </c>
      <c r="E1477" s="3">
        <v>46199</v>
      </c>
      <c r="F1477" s="5">
        <v>380</v>
      </c>
      <c r="G1477" s="5">
        <v>380</v>
      </c>
      <c r="H1477" s="61">
        <v>0</v>
      </c>
      <c r="I1477" s="6">
        <f t="shared" si="23"/>
        <v>-380</v>
      </c>
      <c r="J1477" s="9">
        <v>46254</v>
      </c>
      <c r="K1477" s="11" t="s">
        <v>1003</v>
      </c>
      <c r="L1477" s="11" t="s">
        <v>109</v>
      </c>
      <c r="M1477" s="44" t="s">
        <v>20</v>
      </c>
      <c r="N1477" s="3">
        <v>46255</v>
      </c>
    </row>
    <row r="1478" spans="1:14">
      <c r="A1478" s="4" t="s">
        <v>1144</v>
      </c>
      <c r="B1478" s="4" t="s">
        <v>1145</v>
      </c>
      <c r="C1478" s="4" t="s">
        <v>16</v>
      </c>
      <c r="D1478" s="4" t="s">
        <v>331</v>
      </c>
      <c r="E1478" s="3">
        <v>46210</v>
      </c>
      <c r="F1478" s="5">
        <v>3420</v>
      </c>
      <c r="G1478" s="5">
        <v>3420</v>
      </c>
      <c r="H1478" s="61">
        <v>1140</v>
      </c>
      <c r="I1478" s="6">
        <f t="shared" si="23"/>
        <v>-2280</v>
      </c>
      <c r="J1478" s="9">
        <v>46254</v>
      </c>
      <c r="K1478" s="11" t="s">
        <v>1003</v>
      </c>
      <c r="L1478" s="11" t="s">
        <v>109</v>
      </c>
      <c r="M1478" s="44" t="s">
        <v>20</v>
      </c>
      <c r="N1478" s="3">
        <v>46255</v>
      </c>
    </row>
    <row r="1479" spans="1:14">
      <c r="A1479" s="4" t="s">
        <v>1144</v>
      </c>
      <c r="B1479" s="4" t="s">
        <v>1145</v>
      </c>
      <c r="C1479" s="4" t="s">
        <v>16</v>
      </c>
      <c r="D1479" s="4" t="s">
        <v>368</v>
      </c>
      <c r="E1479" s="3">
        <v>46225</v>
      </c>
      <c r="F1479" s="5">
        <v>16340</v>
      </c>
      <c r="G1479" s="5">
        <v>16340</v>
      </c>
      <c r="H1479" s="61">
        <v>7220</v>
      </c>
      <c r="I1479" s="6">
        <f t="shared" si="23"/>
        <v>-9120</v>
      </c>
      <c r="J1479" s="9">
        <v>46254</v>
      </c>
      <c r="K1479" s="11" t="s">
        <v>1003</v>
      </c>
      <c r="L1479" s="11" t="s">
        <v>109</v>
      </c>
      <c r="M1479" s="44" t="s">
        <v>20</v>
      </c>
      <c r="N1479" s="3">
        <v>46255</v>
      </c>
    </row>
    <row r="1480" spans="1:14">
      <c r="A1480" s="4" t="s">
        <v>1146</v>
      </c>
      <c r="B1480" s="4" t="s">
        <v>1147</v>
      </c>
      <c r="C1480" s="4" t="s">
        <v>16</v>
      </c>
      <c r="D1480" s="4" t="s">
        <v>726</v>
      </c>
      <c r="E1480" s="3">
        <v>46072</v>
      </c>
      <c r="F1480" s="5">
        <v>2</v>
      </c>
      <c r="G1480" s="5">
        <v>2</v>
      </c>
      <c r="H1480" s="61">
        <v>760</v>
      </c>
      <c r="I1480" s="6">
        <f t="shared" si="23"/>
        <v>758</v>
      </c>
      <c r="J1480" s="9">
        <v>46254</v>
      </c>
      <c r="K1480" s="11" t="s">
        <v>1003</v>
      </c>
      <c r="L1480" s="11" t="s">
        <v>109</v>
      </c>
      <c r="M1480" s="44" t="s">
        <v>20</v>
      </c>
      <c r="N1480" s="3">
        <v>46255</v>
      </c>
    </row>
    <row r="1481" spans="1:14">
      <c r="A1481" s="4" t="s">
        <v>1148</v>
      </c>
      <c r="B1481" s="4" t="s">
        <v>1149</v>
      </c>
      <c r="C1481" s="4" t="s">
        <v>16</v>
      </c>
      <c r="D1481" s="4" t="s">
        <v>380</v>
      </c>
      <c r="E1481" s="3">
        <v>46094</v>
      </c>
      <c r="F1481" s="5">
        <v>3040</v>
      </c>
      <c r="G1481" s="5">
        <v>3040</v>
      </c>
      <c r="H1481" s="61">
        <v>3040</v>
      </c>
      <c r="I1481" s="6">
        <f t="shared" si="23"/>
        <v>0</v>
      </c>
      <c r="J1481" s="9">
        <v>46254</v>
      </c>
      <c r="K1481" s="11" t="s">
        <v>1003</v>
      </c>
      <c r="L1481" s="11" t="s">
        <v>109</v>
      </c>
      <c r="M1481" s="44" t="s">
        <v>20</v>
      </c>
      <c r="N1481" s="3">
        <v>46255</v>
      </c>
    </row>
    <row r="1482" spans="1:14">
      <c r="A1482" s="4" t="s">
        <v>1150</v>
      </c>
      <c r="B1482" s="4" t="s">
        <v>1151</v>
      </c>
      <c r="C1482" s="4" t="s">
        <v>23</v>
      </c>
      <c r="D1482" s="4" t="s">
        <v>21</v>
      </c>
      <c r="E1482" s="3">
        <v>46185</v>
      </c>
      <c r="F1482" s="5">
        <v>12160</v>
      </c>
      <c r="G1482" s="5">
        <v>11780</v>
      </c>
      <c r="H1482" s="61">
        <v>12160</v>
      </c>
      <c r="I1482" s="6">
        <f t="shared" si="23"/>
        <v>0</v>
      </c>
      <c r="J1482" s="9">
        <v>46254</v>
      </c>
      <c r="K1482" s="11" t="s">
        <v>1003</v>
      </c>
      <c r="L1482" s="11" t="s">
        <v>109</v>
      </c>
      <c r="M1482" s="44" t="s">
        <v>20</v>
      </c>
      <c r="N1482" s="3">
        <v>46255</v>
      </c>
    </row>
    <row r="1483" spans="1:14">
      <c r="A1483" s="4" t="s">
        <v>1150</v>
      </c>
      <c r="B1483" s="4" t="s">
        <v>1151</v>
      </c>
      <c r="C1483" s="4" t="s">
        <v>16</v>
      </c>
      <c r="D1483" s="4" t="s">
        <v>21</v>
      </c>
      <c r="E1483" s="3">
        <v>46185</v>
      </c>
      <c r="F1483" s="5">
        <v>2280</v>
      </c>
      <c r="G1483" s="5">
        <v>1900</v>
      </c>
      <c r="H1483" s="61">
        <v>0</v>
      </c>
      <c r="I1483" s="6">
        <f t="shared" si="23"/>
        <v>-2280</v>
      </c>
      <c r="J1483" s="9">
        <v>46253</v>
      </c>
      <c r="K1483" s="11" t="s">
        <v>621</v>
      </c>
      <c r="L1483" s="11" t="s">
        <v>109</v>
      </c>
      <c r="M1483" s="1" t="s">
        <v>20</v>
      </c>
      <c r="N1483" s="3">
        <v>46258</v>
      </c>
    </row>
    <row r="1484" spans="1:14">
      <c r="A1484" s="4" t="s">
        <v>1152</v>
      </c>
      <c r="B1484" s="4" t="s">
        <v>1153</v>
      </c>
      <c r="C1484" s="4" t="s">
        <v>16</v>
      </c>
      <c r="D1484" s="4" t="s">
        <v>894</v>
      </c>
      <c r="E1484" s="3">
        <v>46107</v>
      </c>
      <c r="F1484" s="5">
        <v>4527</v>
      </c>
      <c r="G1484" s="5">
        <v>4527</v>
      </c>
      <c r="H1484" s="61">
        <v>0</v>
      </c>
      <c r="I1484" s="6">
        <f t="shared" si="23"/>
        <v>-4527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>
      <c r="A1485" s="4" t="s">
        <v>1152</v>
      </c>
      <c r="B1485" s="4" t="s">
        <v>1153</v>
      </c>
      <c r="C1485" s="4" t="s">
        <v>16</v>
      </c>
      <c r="D1485" s="4" t="s">
        <v>853</v>
      </c>
      <c r="E1485" s="3">
        <v>46113</v>
      </c>
      <c r="F1485" s="5">
        <v>1520</v>
      </c>
      <c r="G1485" s="5">
        <v>1520</v>
      </c>
      <c r="H1485" s="61">
        <v>0</v>
      </c>
      <c r="I1485" s="6">
        <f t="shared" si="23"/>
        <v>-1520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>
      <c r="A1486" s="4" t="s">
        <v>1152</v>
      </c>
      <c r="B1486" s="4" t="s">
        <v>1153</v>
      </c>
      <c r="C1486" s="4" t="s">
        <v>25</v>
      </c>
      <c r="D1486" s="4" t="s">
        <v>377</v>
      </c>
      <c r="E1486" s="3">
        <v>46118</v>
      </c>
      <c r="F1486" s="5">
        <v>44840</v>
      </c>
      <c r="G1486" s="5">
        <v>44840</v>
      </c>
      <c r="H1486" s="61">
        <v>0</v>
      </c>
      <c r="I1486" s="6">
        <f t="shared" si="23"/>
        <v>-44840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>
      <c r="A1487" s="4" t="s">
        <v>1152</v>
      </c>
      <c r="B1487" s="4" t="s">
        <v>1153</v>
      </c>
      <c r="C1487" s="4" t="s">
        <v>16</v>
      </c>
      <c r="D1487" s="4" t="s">
        <v>184</v>
      </c>
      <c r="E1487" s="3">
        <v>46118</v>
      </c>
      <c r="F1487" s="5">
        <v>9500</v>
      </c>
      <c r="G1487" s="5">
        <v>9500</v>
      </c>
      <c r="H1487" s="61">
        <v>0</v>
      </c>
      <c r="I1487" s="6">
        <f t="shared" si="23"/>
        <v>-9500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>
      <c r="A1488" s="4" t="s">
        <v>1152</v>
      </c>
      <c r="B1488" s="4" t="s">
        <v>1153</v>
      </c>
      <c r="C1488" s="4" t="s">
        <v>16</v>
      </c>
      <c r="D1488" s="4" t="s">
        <v>82</v>
      </c>
      <c r="E1488" s="3">
        <v>46118</v>
      </c>
      <c r="F1488" s="5">
        <v>3840</v>
      </c>
      <c r="G1488" s="5">
        <v>3800</v>
      </c>
      <c r="H1488" s="61">
        <v>0</v>
      </c>
      <c r="I1488" s="6">
        <f t="shared" si="23"/>
        <v>-3840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>
      <c r="A1489" s="4" t="s">
        <v>1152</v>
      </c>
      <c r="B1489" s="4" t="s">
        <v>1153</v>
      </c>
      <c r="C1489" s="4" t="s">
        <v>89</v>
      </c>
      <c r="D1489" s="4" t="s">
        <v>184</v>
      </c>
      <c r="E1489" s="3">
        <v>46118</v>
      </c>
      <c r="F1489" s="5">
        <v>1900</v>
      </c>
      <c r="G1489" s="5">
        <v>1900</v>
      </c>
      <c r="H1489" s="61">
        <v>0</v>
      </c>
      <c r="I1489" s="6">
        <f t="shared" si="23"/>
        <v>-1900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>
      <c r="A1490" s="4" t="s">
        <v>1152</v>
      </c>
      <c r="B1490" s="4" t="s">
        <v>1153</v>
      </c>
      <c r="C1490" s="4" t="s">
        <v>23</v>
      </c>
      <c r="D1490" s="4" t="s">
        <v>377</v>
      </c>
      <c r="E1490" s="3">
        <v>46118</v>
      </c>
      <c r="F1490" s="5">
        <v>3800</v>
      </c>
      <c r="G1490" s="5">
        <v>3800</v>
      </c>
      <c r="H1490" s="61">
        <v>0</v>
      </c>
      <c r="I1490" s="6">
        <f t="shared" si="23"/>
        <v>-3800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>
      <c r="A1491" s="4" t="s">
        <v>1152</v>
      </c>
      <c r="B1491" s="4" t="s">
        <v>1153</v>
      </c>
      <c r="C1491" s="4" t="s">
        <v>25</v>
      </c>
      <c r="D1491" s="4" t="s">
        <v>247</v>
      </c>
      <c r="E1491" s="3">
        <v>46126</v>
      </c>
      <c r="F1491" s="5">
        <v>13680</v>
      </c>
      <c r="G1491" s="5">
        <v>13680</v>
      </c>
      <c r="H1491" s="61">
        <v>0</v>
      </c>
      <c r="I1491" s="6">
        <f t="shared" si="23"/>
        <v>-13680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>
      <c r="A1492" s="4" t="s">
        <v>1152</v>
      </c>
      <c r="B1492" s="4" t="s">
        <v>1153</v>
      </c>
      <c r="C1492" s="4" t="s">
        <v>25</v>
      </c>
      <c r="D1492" s="4" t="s">
        <v>627</v>
      </c>
      <c r="E1492" s="3">
        <v>46126</v>
      </c>
      <c r="F1492" s="5">
        <v>55716</v>
      </c>
      <c r="G1492" s="5">
        <v>55716</v>
      </c>
      <c r="H1492" s="61">
        <v>0</v>
      </c>
      <c r="I1492" s="6">
        <f t="shared" si="23"/>
        <v>-55716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>
      <c r="A1493" s="4" t="s">
        <v>1152</v>
      </c>
      <c r="B1493" s="4" t="s">
        <v>1153</v>
      </c>
      <c r="C1493" s="4" t="s">
        <v>89</v>
      </c>
      <c r="D1493" s="4" t="s">
        <v>578</v>
      </c>
      <c r="E1493" s="3">
        <v>46131</v>
      </c>
      <c r="F1493" s="5">
        <v>5700</v>
      </c>
      <c r="G1493" s="5">
        <v>5700</v>
      </c>
      <c r="H1493" s="61">
        <v>0</v>
      </c>
      <c r="I1493" s="6">
        <f t="shared" si="23"/>
        <v>-5700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>
      <c r="A1494" s="4" t="s">
        <v>1152</v>
      </c>
      <c r="B1494" s="4" t="s">
        <v>1153</v>
      </c>
      <c r="C1494" s="4" t="s">
        <v>25</v>
      </c>
      <c r="D1494" s="4" t="s">
        <v>935</v>
      </c>
      <c r="E1494" s="3">
        <v>46131</v>
      </c>
      <c r="F1494" s="5">
        <v>1620</v>
      </c>
      <c r="G1494" s="5">
        <v>1620</v>
      </c>
      <c r="H1494" s="61">
        <v>0</v>
      </c>
      <c r="I1494" s="6">
        <f t="shared" si="23"/>
        <v>-1620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>
      <c r="A1495" s="4" t="s">
        <v>1152</v>
      </c>
      <c r="B1495" s="4" t="s">
        <v>1153</v>
      </c>
      <c r="C1495" s="4" t="s">
        <v>25</v>
      </c>
      <c r="D1495" s="4" t="s">
        <v>578</v>
      </c>
      <c r="E1495" s="3">
        <v>46131</v>
      </c>
      <c r="F1495" s="5">
        <v>380</v>
      </c>
      <c r="G1495" s="5">
        <v>380</v>
      </c>
      <c r="H1495" s="61">
        <v>0</v>
      </c>
      <c r="I1495" s="6">
        <f t="shared" si="23"/>
        <v>-380</v>
      </c>
      <c r="J1495" s="9">
        <v>46253</v>
      </c>
      <c r="K1495" s="11" t="s">
        <v>621</v>
      </c>
      <c r="L1495" s="11" t="s">
        <v>109</v>
      </c>
      <c r="M1495" s="44" t="s">
        <v>20</v>
      </c>
      <c r="N1495" s="3">
        <v>46254</v>
      </c>
    </row>
    <row r="1496" spans="1:14">
      <c r="A1496" s="4" t="s">
        <v>1152</v>
      </c>
      <c r="B1496" s="4" t="s">
        <v>1153</v>
      </c>
      <c r="C1496" s="4" t="s">
        <v>16</v>
      </c>
      <c r="D1496" s="4" t="s">
        <v>627</v>
      </c>
      <c r="E1496" s="3">
        <v>46191</v>
      </c>
      <c r="F1496" s="5">
        <v>42560</v>
      </c>
      <c r="G1496" s="5">
        <v>42560</v>
      </c>
      <c r="H1496" s="61">
        <v>0</v>
      </c>
      <c r="I1496" s="6">
        <f t="shared" si="23"/>
        <v>-42560</v>
      </c>
      <c r="J1496" s="9"/>
      <c r="K1496" s="11"/>
      <c r="L1496" s="11"/>
      <c r="M1496" s="44" t="s">
        <v>20</v>
      </c>
      <c r="N1496" s="3">
        <v>46254</v>
      </c>
    </row>
    <row r="1497" spans="1:14">
      <c r="A1497" s="13" t="s">
        <v>1154</v>
      </c>
      <c r="B1497" s="13" t="s">
        <v>1155</v>
      </c>
      <c r="C1497" s="13" t="s">
        <v>16</v>
      </c>
      <c r="D1497" s="14">
        <v>46067</v>
      </c>
      <c r="E1497" s="14">
        <v>46244</v>
      </c>
      <c r="F1497" s="15">
        <v>0</v>
      </c>
      <c r="G1497" s="15"/>
      <c r="H1497" s="63">
        <v>2660</v>
      </c>
      <c r="I1497" s="6">
        <f t="shared" si="23"/>
        <v>2660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>
      <c r="A1498" s="13" t="s">
        <v>1154</v>
      </c>
      <c r="B1498" s="13" t="s">
        <v>1155</v>
      </c>
      <c r="C1498" s="13" t="s">
        <v>16</v>
      </c>
      <c r="D1498" s="13" t="s">
        <v>726</v>
      </c>
      <c r="E1498" s="14">
        <v>46072</v>
      </c>
      <c r="F1498" s="15">
        <v>3800</v>
      </c>
      <c r="G1498" s="15">
        <v>3800</v>
      </c>
      <c r="H1498" s="63">
        <v>6840</v>
      </c>
      <c r="I1498" s="6">
        <f t="shared" ref="I1498:I1564" si="24">IF(H1498="","",H1498-F1498)</f>
        <v>3040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>
      <c r="A1499" s="13" t="s">
        <v>1154</v>
      </c>
      <c r="B1499" s="13" t="s">
        <v>1155</v>
      </c>
      <c r="C1499" s="13" t="s">
        <v>89</v>
      </c>
      <c r="D1499" s="13" t="s">
        <v>726</v>
      </c>
      <c r="E1499" s="14">
        <v>46072</v>
      </c>
      <c r="F1499" s="15">
        <v>380</v>
      </c>
      <c r="G1499" s="15">
        <v>380</v>
      </c>
      <c r="H1499" s="63">
        <v>0</v>
      </c>
      <c r="I1499" s="6">
        <f t="shared" si="24"/>
        <v>-380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>
      <c r="A1500" s="13" t="s">
        <v>1154</v>
      </c>
      <c r="B1500" s="13" t="s">
        <v>1155</v>
      </c>
      <c r="C1500" s="13" t="s">
        <v>23</v>
      </c>
      <c r="D1500" s="13" t="s">
        <v>726</v>
      </c>
      <c r="E1500" s="14">
        <v>46072</v>
      </c>
      <c r="F1500" s="15">
        <v>3800</v>
      </c>
      <c r="G1500" s="15">
        <v>3800</v>
      </c>
      <c r="H1500" s="63">
        <v>0</v>
      </c>
      <c r="I1500" s="6">
        <f t="shared" si="24"/>
        <v>-3800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>
      <c r="A1501" s="13" t="s">
        <v>1154</v>
      </c>
      <c r="B1501" s="13" t="s">
        <v>1155</v>
      </c>
      <c r="C1501" s="13" t="s">
        <v>25</v>
      </c>
      <c r="D1501" s="13" t="s">
        <v>1156</v>
      </c>
      <c r="E1501" s="14">
        <v>46085</v>
      </c>
      <c r="F1501" s="15">
        <v>1900</v>
      </c>
      <c r="G1501" s="15">
        <v>1900</v>
      </c>
      <c r="H1501" s="63">
        <v>0</v>
      </c>
      <c r="I1501" s="6">
        <f t="shared" si="24"/>
        <v>-1900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>
      <c r="A1502" s="13" t="s">
        <v>1154</v>
      </c>
      <c r="B1502" s="13" t="s">
        <v>1155</v>
      </c>
      <c r="C1502" s="13" t="s">
        <v>16</v>
      </c>
      <c r="D1502" s="13" t="s">
        <v>48</v>
      </c>
      <c r="E1502" s="14">
        <v>46085</v>
      </c>
      <c r="F1502" s="15">
        <v>1900</v>
      </c>
      <c r="G1502" s="15">
        <v>1900</v>
      </c>
      <c r="H1502" s="63">
        <v>67260</v>
      </c>
      <c r="I1502" s="6">
        <f t="shared" si="24"/>
        <v>65360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>
      <c r="A1503" s="13" t="s">
        <v>1154</v>
      </c>
      <c r="B1503" s="13" t="s">
        <v>1155</v>
      </c>
      <c r="C1503" s="13" t="s">
        <v>16</v>
      </c>
      <c r="D1503" s="13" t="s">
        <v>1156</v>
      </c>
      <c r="E1503" s="14">
        <v>46085</v>
      </c>
      <c r="F1503" s="15">
        <v>49400</v>
      </c>
      <c r="G1503" s="15">
        <v>49400</v>
      </c>
      <c r="H1503" s="63">
        <v>112480</v>
      </c>
      <c r="I1503" s="6">
        <f t="shared" si="24"/>
        <v>63080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>
      <c r="A1504" s="13" t="s">
        <v>1154</v>
      </c>
      <c r="B1504" s="13" t="s">
        <v>1155</v>
      </c>
      <c r="C1504" s="13" t="s">
        <v>23</v>
      </c>
      <c r="D1504" s="13" t="s">
        <v>1005</v>
      </c>
      <c r="E1504" s="14">
        <v>46094</v>
      </c>
      <c r="F1504" s="15">
        <v>8360</v>
      </c>
      <c r="G1504" s="15">
        <v>8360</v>
      </c>
      <c r="H1504" s="63">
        <v>0</v>
      </c>
      <c r="I1504" s="6">
        <f t="shared" si="24"/>
        <v>-8360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>
      <c r="A1505" s="13" t="s">
        <v>1154</v>
      </c>
      <c r="B1505" s="13" t="s">
        <v>1155</v>
      </c>
      <c r="C1505" s="13" t="s">
        <v>25</v>
      </c>
      <c r="D1505" s="13" t="s">
        <v>1005</v>
      </c>
      <c r="E1505" s="14">
        <v>46094</v>
      </c>
      <c r="F1505" s="15">
        <v>19000</v>
      </c>
      <c r="G1505" s="15">
        <v>19000</v>
      </c>
      <c r="H1505" s="63">
        <v>0</v>
      </c>
      <c r="I1505" s="6">
        <f t="shared" si="24"/>
        <v>-19000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>
      <c r="A1506" s="13" t="s">
        <v>1154</v>
      </c>
      <c r="B1506" s="13" t="s">
        <v>1155</v>
      </c>
      <c r="C1506" s="13" t="s">
        <v>89</v>
      </c>
      <c r="D1506" s="13" t="s">
        <v>1005</v>
      </c>
      <c r="E1506" s="14">
        <v>46094</v>
      </c>
      <c r="F1506" s="15">
        <v>380</v>
      </c>
      <c r="G1506" s="15">
        <v>380</v>
      </c>
      <c r="H1506" s="63">
        <v>380</v>
      </c>
      <c r="I1506" s="6">
        <f t="shared" si="24"/>
        <v>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>
      <c r="A1507" s="13" t="s">
        <v>1154</v>
      </c>
      <c r="B1507" s="13" t="s">
        <v>1155</v>
      </c>
      <c r="C1507" s="13" t="s">
        <v>16</v>
      </c>
      <c r="D1507" s="13" t="s">
        <v>1157</v>
      </c>
      <c r="E1507" s="14">
        <v>46100</v>
      </c>
      <c r="F1507" s="15">
        <v>1900</v>
      </c>
      <c r="G1507" s="15">
        <v>1900</v>
      </c>
      <c r="H1507" s="63">
        <v>0</v>
      </c>
      <c r="I1507" s="6">
        <f t="shared" si="24"/>
        <v>-1900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>
      <c r="A1508" s="13" t="s">
        <v>1154</v>
      </c>
      <c r="B1508" s="13" t="s">
        <v>1155</v>
      </c>
      <c r="C1508" s="13" t="s">
        <v>16</v>
      </c>
      <c r="D1508" s="13" t="s">
        <v>1158</v>
      </c>
      <c r="E1508" s="14">
        <v>46108</v>
      </c>
      <c r="F1508" s="15">
        <v>18620</v>
      </c>
      <c r="G1508" s="15">
        <v>18620</v>
      </c>
      <c r="H1508" s="63">
        <v>760</v>
      </c>
      <c r="I1508" s="6">
        <f t="shared" si="24"/>
        <v>-17860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>
      <c r="A1509" s="13" t="s">
        <v>1154</v>
      </c>
      <c r="B1509" s="13" t="s">
        <v>1155</v>
      </c>
      <c r="C1509" s="13" t="s">
        <v>89</v>
      </c>
      <c r="D1509" s="13" t="s">
        <v>1158</v>
      </c>
      <c r="E1509" s="14">
        <v>46108</v>
      </c>
      <c r="F1509" s="15">
        <v>1260</v>
      </c>
      <c r="G1509" s="15">
        <v>1260</v>
      </c>
      <c r="H1509" s="63">
        <v>0</v>
      </c>
      <c r="I1509" s="6">
        <f t="shared" si="24"/>
        <v>-1260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>
      <c r="A1510" s="13" t="s">
        <v>1154</v>
      </c>
      <c r="B1510" s="13" t="s">
        <v>1155</v>
      </c>
      <c r="C1510" s="13" t="s">
        <v>1159</v>
      </c>
      <c r="D1510" s="13" t="s">
        <v>170</v>
      </c>
      <c r="E1510" s="14">
        <v>46108</v>
      </c>
      <c r="F1510" s="15">
        <v>1900</v>
      </c>
      <c r="G1510" s="15">
        <v>1900</v>
      </c>
      <c r="H1510" s="63">
        <v>12200</v>
      </c>
      <c r="I1510" s="6">
        <f t="shared" si="24"/>
        <v>10300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>
      <c r="A1511" s="13" t="s">
        <v>1154</v>
      </c>
      <c r="B1511" s="13" t="s">
        <v>1155</v>
      </c>
      <c r="C1511" s="13" t="s">
        <v>89</v>
      </c>
      <c r="D1511" s="13" t="s">
        <v>170</v>
      </c>
      <c r="E1511" s="14">
        <v>46108</v>
      </c>
      <c r="F1511" s="15">
        <v>15200</v>
      </c>
      <c r="G1511" s="15">
        <v>15200</v>
      </c>
      <c r="H1511" s="63">
        <v>0</v>
      </c>
      <c r="I1511" s="6">
        <f t="shared" si="24"/>
        <v>-15200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>
      <c r="A1512" s="13" t="s">
        <v>1154</v>
      </c>
      <c r="B1512" s="13" t="s">
        <v>1155</v>
      </c>
      <c r="C1512" s="13" t="s">
        <v>16</v>
      </c>
      <c r="D1512" s="13" t="s">
        <v>578</v>
      </c>
      <c r="E1512" s="14">
        <v>46128</v>
      </c>
      <c r="F1512" s="15">
        <v>20900</v>
      </c>
      <c r="G1512" s="15">
        <v>20900</v>
      </c>
      <c r="H1512" s="63">
        <v>19000</v>
      </c>
      <c r="I1512" s="6">
        <f t="shared" si="24"/>
        <v>-1900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>
      <c r="A1513" s="13" t="s">
        <v>1154</v>
      </c>
      <c r="B1513" s="13" t="s">
        <v>1155</v>
      </c>
      <c r="C1513" s="13" t="s">
        <v>89</v>
      </c>
      <c r="D1513" s="13" t="s">
        <v>578</v>
      </c>
      <c r="E1513" s="14">
        <v>46128</v>
      </c>
      <c r="F1513" s="15">
        <v>-380</v>
      </c>
      <c r="G1513" s="15">
        <v>380</v>
      </c>
      <c r="H1513" s="63">
        <v>0</v>
      </c>
      <c r="I1513" s="6">
        <f t="shared" si="24"/>
        <v>380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>
      <c r="A1514" s="13" t="s">
        <v>1154</v>
      </c>
      <c r="B1514" s="13" t="s">
        <v>1155</v>
      </c>
      <c r="C1514" s="13" t="s">
        <v>16</v>
      </c>
      <c r="D1514" s="13" t="s">
        <v>239</v>
      </c>
      <c r="E1514" s="14">
        <v>46138</v>
      </c>
      <c r="F1514" s="15">
        <v>44840</v>
      </c>
      <c r="G1514" s="15">
        <v>44840</v>
      </c>
      <c r="H1514" s="63">
        <v>7220</v>
      </c>
      <c r="I1514" s="6">
        <f t="shared" si="24"/>
        <v>-37620</v>
      </c>
      <c r="J1514" s="16">
        <v>46244</v>
      </c>
      <c r="K1514" s="17" t="s">
        <v>479</v>
      </c>
      <c r="L1514" s="17" t="s">
        <v>109</v>
      </c>
      <c r="M1514" s="44" t="s">
        <v>20</v>
      </c>
      <c r="N1514" s="3">
        <v>46245</v>
      </c>
    </row>
    <row r="1515" spans="1:14">
      <c r="A1515" s="4" t="s">
        <v>1160</v>
      </c>
      <c r="B1515" s="4" t="s">
        <v>1161</v>
      </c>
      <c r="C1515" s="4" t="s">
        <v>89</v>
      </c>
      <c r="D1515" s="4" t="s">
        <v>170</v>
      </c>
      <c r="E1515" s="3">
        <v>46105</v>
      </c>
      <c r="F1515" s="5">
        <v>-3800</v>
      </c>
      <c r="G1515" s="5">
        <v>3040</v>
      </c>
      <c r="H1515" s="61">
        <v>0</v>
      </c>
      <c r="I1515" s="6">
        <f t="shared" si="24"/>
        <v>3800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>
      <c r="A1516" s="4" t="s">
        <v>1160</v>
      </c>
      <c r="B1516" s="4" t="s">
        <v>1161</v>
      </c>
      <c r="C1516" s="4" t="s">
        <v>16</v>
      </c>
      <c r="D1516" s="4">
        <v>5032026</v>
      </c>
      <c r="E1516" s="3">
        <v>46105</v>
      </c>
      <c r="F1516" s="5">
        <v>0</v>
      </c>
      <c r="G1516" s="5">
        <v>2280</v>
      </c>
      <c r="H1516" s="61">
        <v>4560</v>
      </c>
      <c r="I1516" s="6">
        <f t="shared" si="24"/>
        <v>4560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>
      <c r="A1517" s="4" t="s">
        <v>1160</v>
      </c>
      <c r="B1517" s="4" t="s">
        <v>1161</v>
      </c>
      <c r="C1517" s="4" t="s">
        <v>16</v>
      </c>
      <c r="D1517" s="4" t="s">
        <v>894</v>
      </c>
      <c r="E1517" s="3">
        <v>46118</v>
      </c>
      <c r="F1517" s="5">
        <v>760</v>
      </c>
      <c r="G1517" s="5">
        <v>760</v>
      </c>
      <c r="H1517" s="61">
        <v>2280</v>
      </c>
      <c r="I1517" s="6">
        <f t="shared" si="24"/>
        <v>1520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>
      <c r="A1518" s="4" t="s">
        <v>1160</v>
      </c>
      <c r="B1518" s="4" t="s">
        <v>1161</v>
      </c>
      <c r="C1518" s="4" t="s">
        <v>89</v>
      </c>
      <c r="D1518" s="4" t="s">
        <v>894</v>
      </c>
      <c r="E1518" s="3">
        <v>46118</v>
      </c>
      <c r="F1518" s="5">
        <v>4180</v>
      </c>
      <c r="G1518" s="5">
        <v>1900</v>
      </c>
      <c r="H1518" s="61">
        <v>0</v>
      </c>
      <c r="I1518" s="6">
        <f t="shared" si="24"/>
        <v>-4180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>
      <c r="A1519" s="4" t="s">
        <v>1160</v>
      </c>
      <c r="B1519" s="4" t="s">
        <v>1161</v>
      </c>
      <c r="C1519" s="4" t="s">
        <v>89</v>
      </c>
      <c r="D1519" s="4" t="s">
        <v>99</v>
      </c>
      <c r="E1519" s="3">
        <v>46192</v>
      </c>
      <c r="F1519" s="5">
        <v>760</v>
      </c>
      <c r="G1519" s="5">
        <v>760</v>
      </c>
      <c r="H1519" s="61">
        <v>0</v>
      </c>
      <c r="I1519" s="6">
        <f t="shared" si="24"/>
        <v>-760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>
      <c r="A1520" s="4" t="s">
        <v>1160</v>
      </c>
      <c r="B1520" s="4" t="s">
        <v>1161</v>
      </c>
      <c r="C1520" s="4" t="s">
        <v>16</v>
      </c>
      <c r="D1520" s="4" t="s">
        <v>99</v>
      </c>
      <c r="E1520" s="3">
        <v>46192</v>
      </c>
      <c r="F1520" s="5">
        <v>17480</v>
      </c>
      <c r="G1520" s="5">
        <v>17480</v>
      </c>
      <c r="H1520" s="61">
        <v>11020</v>
      </c>
      <c r="I1520" s="6">
        <f t="shared" si="24"/>
        <v>-6460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>
      <c r="A1521" s="4" t="s">
        <v>1160</v>
      </c>
      <c r="B1521" s="4" t="s">
        <v>1161</v>
      </c>
      <c r="C1521" s="4" t="s">
        <v>16</v>
      </c>
      <c r="D1521" s="4" t="s">
        <v>1065</v>
      </c>
      <c r="E1521" s="3">
        <v>46221</v>
      </c>
      <c r="F1521" s="5">
        <v>27360</v>
      </c>
      <c r="G1521" s="5">
        <v>27360</v>
      </c>
      <c r="H1521" s="61">
        <v>25080</v>
      </c>
      <c r="I1521" s="6">
        <f t="shared" si="24"/>
        <v>-2280</v>
      </c>
      <c r="J1521" s="9">
        <v>46246</v>
      </c>
      <c r="K1521" s="31" t="s">
        <v>157</v>
      </c>
      <c r="L1521" s="31" t="s">
        <v>109</v>
      </c>
      <c r="M1521" s="44" t="s">
        <v>20</v>
      </c>
      <c r="N1521" s="3">
        <v>46246</v>
      </c>
    </row>
    <row r="1522" spans="1:14">
      <c r="A1522" s="4" t="s">
        <v>1160</v>
      </c>
      <c r="B1522" s="4" t="s">
        <v>1161</v>
      </c>
      <c r="C1522" s="4" t="s">
        <v>16</v>
      </c>
      <c r="D1522" s="4" t="s">
        <v>640</v>
      </c>
      <c r="E1522" s="3">
        <v>46221</v>
      </c>
      <c r="F1522" s="5">
        <v>267520</v>
      </c>
      <c r="G1522" s="5">
        <v>267520</v>
      </c>
      <c r="H1522" s="61">
        <v>269800</v>
      </c>
      <c r="I1522" s="6">
        <f t="shared" si="24"/>
        <v>2280</v>
      </c>
      <c r="J1522" s="9">
        <v>46246</v>
      </c>
      <c r="K1522" s="31" t="s">
        <v>1162</v>
      </c>
      <c r="L1522" s="31" t="s">
        <v>109</v>
      </c>
      <c r="M1522" s="44" t="s">
        <v>20</v>
      </c>
      <c r="N1522" s="3">
        <v>46246</v>
      </c>
    </row>
    <row r="1523" spans="1:14">
      <c r="A1523" s="4" t="s">
        <v>1163</v>
      </c>
      <c r="B1523" s="4" t="s">
        <v>1164</v>
      </c>
      <c r="C1523" s="4" t="s">
        <v>16</v>
      </c>
      <c r="D1523" s="4" t="s">
        <v>468</v>
      </c>
      <c r="E1523" s="3">
        <v>46067</v>
      </c>
      <c r="F1523" s="5">
        <v>380</v>
      </c>
      <c r="G1523" s="5">
        <v>380</v>
      </c>
      <c r="H1523" s="61">
        <v>0</v>
      </c>
      <c r="I1523" s="6">
        <f t="shared" si="24"/>
        <v>-380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>
      <c r="A1524" s="4" t="s">
        <v>1163</v>
      </c>
      <c r="B1524" s="4" t="s">
        <v>1164</v>
      </c>
      <c r="C1524" s="4" t="s">
        <v>89</v>
      </c>
      <c r="D1524" s="4" t="s">
        <v>468</v>
      </c>
      <c r="E1524" s="3">
        <v>46067</v>
      </c>
      <c r="F1524" s="5">
        <v>0</v>
      </c>
      <c r="G1524" s="5">
        <v>20140</v>
      </c>
      <c r="H1524" s="61">
        <v>0</v>
      </c>
      <c r="I1524" s="6">
        <f t="shared" si="24"/>
        <v>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>
      <c r="A1525" s="4" t="s">
        <v>1163</v>
      </c>
      <c r="B1525" s="4" t="s">
        <v>1164</v>
      </c>
      <c r="C1525" s="4" t="s">
        <v>89</v>
      </c>
      <c r="D1525" s="4" t="s">
        <v>503</v>
      </c>
      <c r="E1525" s="3">
        <v>46138</v>
      </c>
      <c r="F1525" s="5">
        <v>760</v>
      </c>
      <c r="G1525" s="5">
        <v>17860</v>
      </c>
      <c r="H1525" s="61">
        <v>1140</v>
      </c>
      <c r="I1525" s="6">
        <f t="shared" si="24"/>
        <v>380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46255</v>
      </c>
    </row>
    <row r="1526" spans="1:14">
      <c r="A1526" s="4" t="s">
        <v>1163</v>
      </c>
      <c r="B1526" s="4" t="s">
        <v>1164</v>
      </c>
      <c r="C1526" s="4" t="s">
        <v>16</v>
      </c>
      <c r="D1526" s="4" t="s">
        <v>130</v>
      </c>
      <c r="E1526" s="3">
        <v>46176</v>
      </c>
      <c r="F1526" s="5">
        <v>21280</v>
      </c>
      <c r="G1526" s="5">
        <v>6080</v>
      </c>
      <c r="H1526" s="61">
        <v>6080</v>
      </c>
      <c r="I1526" s="6">
        <f t="shared" si="24"/>
        <v>-15200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>
      <c r="A1527" s="4" t="s">
        <v>1163</v>
      </c>
      <c r="B1527" s="4" t="s">
        <v>1164</v>
      </c>
      <c r="C1527" s="4" t="s">
        <v>16</v>
      </c>
      <c r="D1527" s="4" t="s">
        <v>640</v>
      </c>
      <c r="E1527" s="3">
        <v>46221</v>
      </c>
      <c r="F1527" s="5">
        <v>8740</v>
      </c>
      <c r="G1527" s="5">
        <v>8740</v>
      </c>
      <c r="H1527" s="61">
        <v>23180</v>
      </c>
      <c r="I1527" s="6">
        <f t="shared" si="24"/>
        <v>14440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>
      <c r="A1528" s="4" t="s">
        <v>1163</v>
      </c>
      <c r="B1528" s="4" t="s">
        <v>1164</v>
      </c>
      <c r="C1528" s="4" t="s">
        <v>104</v>
      </c>
      <c r="D1528" s="4" t="s">
        <v>640</v>
      </c>
      <c r="E1528" s="3">
        <v>46240</v>
      </c>
      <c r="F1528" s="5">
        <v>16340</v>
      </c>
      <c r="G1528" s="5">
        <v>16340</v>
      </c>
      <c r="H1528" s="61">
        <v>0</v>
      </c>
      <c r="I1528" s="6">
        <f t="shared" si="24"/>
        <v>-16340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46258</v>
      </c>
    </row>
    <row r="1529" spans="1:14">
      <c r="A1529" s="4" t="s">
        <v>1165</v>
      </c>
      <c r="B1529" s="4" t="s">
        <v>1166</v>
      </c>
      <c r="C1529" s="4" t="s">
        <v>16</v>
      </c>
      <c r="D1529" s="4" t="s">
        <v>86</v>
      </c>
      <c r="E1529" s="3">
        <v>46141</v>
      </c>
      <c r="F1529" s="5">
        <v>380</v>
      </c>
      <c r="G1529" s="5">
        <v>380</v>
      </c>
      <c r="H1529" s="61">
        <v>0</v>
      </c>
      <c r="I1529" s="6">
        <f t="shared" si="24"/>
        <v>-380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46255</v>
      </c>
    </row>
    <row r="1530" spans="1:14">
      <c r="A1530" s="4" t="s">
        <v>1165</v>
      </c>
      <c r="B1530" s="4" t="s">
        <v>1166</v>
      </c>
      <c r="C1530" s="4" t="s">
        <v>23</v>
      </c>
      <c r="D1530" s="4" t="s">
        <v>46</v>
      </c>
      <c r="E1530" s="3">
        <v>46172</v>
      </c>
      <c r="F1530" s="5">
        <v>18240</v>
      </c>
      <c r="G1530" s="5">
        <v>18240</v>
      </c>
      <c r="H1530" s="61">
        <v>0</v>
      </c>
      <c r="I1530" s="6">
        <f t="shared" si="24"/>
        <v>-18240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>
      <c r="A1531" s="4" t="s">
        <v>1165</v>
      </c>
      <c r="B1531" s="4" t="s">
        <v>1166</v>
      </c>
      <c r="C1531" s="4" t="s">
        <v>16</v>
      </c>
      <c r="D1531" s="4" t="s">
        <v>364</v>
      </c>
      <c r="E1531" s="3">
        <v>46240</v>
      </c>
      <c r="F1531" s="5">
        <v>0</v>
      </c>
      <c r="G1531" s="5">
        <v>15580</v>
      </c>
      <c r="H1531" s="61">
        <v>0</v>
      </c>
      <c r="I1531" s="6">
        <f t="shared" si="24"/>
        <v>0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>
      <c r="A1532" s="4" t="s">
        <v>1167</v>
      </c>
      <c r="B1532" s="4" t="s">
        <v>1168</v>
      </c>
      <c r="C1532" s="4" t="s">
        <v>23</v>
      </c>
      <c r="D1532" s="4" t="s">
        <v>153</v>
      </c>
      <c r="E1532" s="3">
        <v>46153</v>
      </c>
      <c r="F1532" s="5">
        <v>-9411.0893919999999</v>
      </c>
      <c r="G1532" s="5">
        <v>1988.9106079999997</v>
      </c>
      <c r="H1532" s="61">
        <v>0</v>
      </c>
      <c r="I1532" s="6">
        <f t="shared" si="24"/>
        <v>9411.0893919999999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>
      <c r="A1533" s="4" t="s">
        <v>1167</v>
      </c>
      <c r="B1533" s="4" t="s">
        <v>1168</v>
      </c>
      <c r="C1533" s="4" t="s">
        <v>23</v>
      </c>
      <c r="D1533" s="4" t="s">
        <v>135</v>
      </c>
      <c r="E1533" s="3">
        <v>46172</v>
      </c>
      <c r="F1533" s="5">
        <v>6080</v>
      </c>
      <c r="G1533" s="5">
        <v>6080</v>
      </c>
      <c r="H1533" s="61">
        <v>1900</v>
      </c>
      <c r="I1533" s="6">
        <f t="shared" si="24"/>
        <v>-4180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>
      <c r="A1534" s="4" t="s">
        <v>1167</v>
      </c>
      <c r="B1534" s="4" t="s">
        <v>1168</v>
      </c>
      <c r="C1534" s="4" t="s">
        <v>16</v>
      </c>
      <c r="D1534" s="4" t="s">
        <v>135</v>
      </c>
      <c r="E1534" s="3">
        <v>46172</v>
      </c>
      <c r="F1534" s="5">
        <v>2280</v>
      </c>
      <c r="G1534" s="5">
        <v>380</v>
      </c>
      <c r="H1534" s="61">
        <v>0</v>
      </c>
      <c r="I1534" s="6">
        <f t="shared" si="24"/>
        <v>-2280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46258</v>
      </c>
    </row>
    <row r="1535" spans="1:14">
      <c r="A1535" s="4" t="s">
        <v>1167</v>
      </c>
      <c r="B1535" s="4" t="s">
        <v>1168</v>
      </c>
      <c r="C1535" s="4" t="s">
        <v>23</v>
      </c>
      <c r="D1535" s="4" t="s">
        <v>162</v>
      </c>
      <c r="E1535" s="3">
        <v>46201</v>
      </c>
      <c r="F1535" s="5">
        <v>3800</v>
      </c>
      <c r="G1535" s="5">
        <v>3800</v>
      </c>
      <c r="H1535" s="61">
        <v>0</v>
      </c>
      <c r="I1535" s="6">
        <f t="shared" si="24"/>
        <v>-3800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>
      <c r="A1536" s="4" t="s">
        <v>1169</v>
      </c>
      <c r="B1536" s="4" t="s">
        <v>1170</v>
      </c>
      <c r="C1536" s="4" t="s">
        <v>16</v>
      </c>
      <c r="D1536" s="4" t="s">
        <v>1171</v>
      </c>
      <c r="E1536" s="3">
        <v>46244</v>
      </c>
      <c r="F1536" s="5">
        <v>95000</v>
      </c>
      <c r="G1536" s="5">
        <v>95000</v>
      </c>
      <c r="H1536" s="61">
        <v>95000</v>
      </c>
      <c r="I1536" s="6">
        <f t="shared" si="24"/>
        <v>0</v>
      </c>
      <c r="J1536" s="9">
        <v>46254</v>
      </c>
      <c r="K1536" s="11" t="s">
        <v>157</v>
      </c>
      <c r="L1536" s="11" t="s">
        <v>109</v>
      </c>
      <c r="M1536" s="44" t="s">
        <v>20</v>
      </c>
      <c r="N1536" s="3">
        <v>46255</v>
      </c>
    </row>
    <row r="1537" spans="1:14">
      <c r="A1537" s="4" t="s">
        <v>1172</v>
      </c>
      <c r="B1537" s="4" t="s">
        <v>1173</v>
      </c>
      <c r="C1537" s="4" t="s">
        <v>16</v>
      </c>
      <c r="D1537" s="4" t="s">
        <v>543</v>
      </c>
      <c r="E1537" s="3">
        <v>46235</v>
      </c>
      <c r="F1537" s="5">
        <v>625100</v>
      </c>
      <c r="G1537" s="5">
        <v>625100</v>
      </c>
      <c r="H1537" s="61"/>
      <c r="I1537" s="6" t="str">
        <f t="shared" si="24"/>
        <v/>
      </c>
      <c r="J1537" s="9"/>
      <c r="K1537" s="11"/>
      <c r="L1537" s="11"/>
      <c r="M1537" s="44" t="s">
        <v>909</v>
      </c>
      <c r="N1537" s="4"/>
    </row>
    <row r="1538" spans="1:14">
      <c r="A1538" s="4" t="s">
        <v>1174</v>
      </c>
      <c r="B1538" s="4" t="s">
        <v>1175</v>
      </c>
      <c r="C1538" s="4" t="s">
        <v>16</v>
      </c>
      <c r="D1538" s="4" t="s">
        <v>37</v>
      </c>
      <c r="E1538" s="3">
        <v>46232</v>
      </c>
      <c r="F1538" s="5">
        <v>91660</v>
      </c>
      <c r="G1538" s="5">
        <v>242440</v>
      </c>
      <c r="H1538" s="67">
        <v>90820</v>
      </c>
      <c r="I1538" s="6">
        <f t="shared" si="24"/>
        <v>-840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>
      <c r="A1539" s="4" t="s">
        <v>1174</v>
      </c>
      <c r="B1539" s="4" t="s">
        <v>1175</v>
      </c>
      <c r="C1539" s="4" t="s">
        <v>16</v>
      </c>
      <c r="D1539" s="4" t="s">
        <v>368</v>
      </c>
      <c r="E1539" s="3">
        <v>46232</v>
      </c>
      <c r="F1539" s="5">
        <v>45220</v>
      </c>
      <c r="G1539" s="5">
        <v>45220</v>
      </c>
      <c r="H1539" s="61">
        <v>12</v>
      </c>
      <c r="I1539" s="6">
        <f t="shared" si="24"/>
        <v>-45208</v>
      </c>
      <c r="J1539" s="9">
        <v>46246</v>
      </c>
      <c r="K1539" s="31" t="s">
        <v>157</v>
      </c>
      <c r="L1539" s="31" t="s">
        <v>109</v>
      </c>
      <c r="M1539" s="44" t="s">
        <v>20</v>
      </c>
      <c r="N1539" s="3">
        <v>46246</v>
      </c>
    </row>
    <row r="1540" spans="1:14">
      <c r="A1540" s="4" t="s">
        <v>1176</v>
      </c>
      <c r="B1540" s="4" t="s">
        <v>1177</v>
      </c>
      <c r="C1540" s="4" t="s">
        <v>16</v>
      </c>
      <c r="D1540" s="4" t="s">
        <v>395</v>
      </c>
      <c r="E1540" s="3">
        <v>46182</v>
      </c>
      <c r="F1540" s="5">
        <v>1140</v>
      </c>
      <c r="G1540" s="5">
        <v>1140</v>
      </c>
      <c r="H1540" s="61">
        <v>0</v>
      </c>
      <c r="I1540" s="6">
        <f t="shared" si="24"/>
        <v>-1140</v>
      </c>
      <c r="J1540" s="9">
        <v>46254</v>
      </c>
      <c r="K1540" s="11" t="s">
        <v>1003</v>
      </c>
      <c r="L1540" s="11" t="s">
        <v>109</v>
      </c>
      <c r="M1540" s="44" t="s">
        <v>20</v>
      </c>
      <c r="N1540" s="3">
        <v>46259</v>
      </c>
    </row>
    <row r="1541" spans="1:14">
      <c r="A1541" s="4" t="s">
        <v>1176</v>
      </c>
      <c r="B1541" s="4" t="s">
        <v>1177</v>
      </c>
      <c r="C1541" s="4" t="s">
        <v>89</v>
      </c>
      <c r="D1541" s="4" t="s">
        <v>395</v>
      </c>
      <c r="E1541" s="3">
        <v>46182</v>
      </c>
      <c r="F1541" s="5">
        <v>0</v>
      </c>
      <c r="G1541" s="5">
        <v>178600</v>
      </c>
      <c r="H1541" s="61">
        <v>0</v>
      </c>
      <c r="I1541" s="6">
        <f t="shared" si="24"/>
        <v>0</v>
      </c>
      <c r="J1541" s="9">
        <v>46254</v>
      </c>
      <c r="K1541" s="11" t="s">
        <v>1003</v>
      </c>
      <c r="L1541" s="11" t="s">
        <v>109</v>
      </c>
      <c r="M1541" s="119" t="s">
        <v>20</v>
      </c>
      <c r="N1541" s="3">
        <v>46259</v>
      </c>
    </row>
    <row r="1542" spans="1:14">
      <c r="A1542" s="76" t="s">
        <v>1176</v>
      </c>
      <c r="B1542" s="76" t="s">
        <v>1177</v>
      </c>
      <c r="C1542" s="76" t="s">
        <v>16</v>
      </c>
      <c r="D1542" s="76" t="s">
        <v>1178</v>
      </c>
      <c r="E1542" s="77">
        <v>198740</v>
      </c>
      <c r="F1542" s="77">
        <v>198740</v>
      </c>
      <c r="G1542" s="5"/>
      <c r="H1542" s="61">
        <v>183540</v>
      </c>
      <c r="I1542" s="6">
        <f t="shared" si="24"/>
        <v>-15200</v>
      </c>
      <c r="J1542" s="9">
        <v>46254</v>
      </c>
      <c r="K1542" s="11" t="s">
        <v>1003</v>
      </c>
      <c r="L1542" s="11" t="s">
        <v>109</v>
      </c>
      <c r="M1542" s="44" t="s">
        <v>20</v>
      </c>
      <c r="N1542" s="3">
        <v>46259</v>
      </c>
    </row>
    <row r="1543" spans="1:14">
      <c r="A1543" s="76" t="s">
        <v>1176</v>
      </c>
      <c r="B1543" s="76" t="s">
        <v>1177</v>
      </c>
      <c r="C1543" s="76" t="s">
        <v>16</v>
      </c>
      <c r="D1543" s="76" t="s">
        <v>1179</v>
      </c>
      <c r="E1543" s="77">
        <v>98420</v>
      </c>
      <c r="F1543" s="77">
        <v>98420</v>
      </c>
      <c r="G1543" s="5"/>
      <c r="H1543" s="61">
        <v>97660</v>
      </c>
      <c r="I1543" s="6">
        <f t="shared" si="24"/>
        <v>-760</v>
      </c>
      <c r="J1543" s="9">
        <v>46254</v>
      </c>
      <c r="K1543" s="11" t="s">
        <v>1003</v>
      </c>
      <c r="L1543" s="11" t="s">
        <v>109</v>
      </c>
      <c r="M1543" s="44" t="s">
        <v>20</v>
      </c>
      <c r="N1543" s="3">
        <v>46259</v>
      </c>
    </row>
    <row r="1544" spans="1:14">
      <c r="A1544" s="4" t="s">
        <v>1176</v>
      </c>
      <c r="B1544" s="4" t="s">
        <v>1177</v>
      </c>
      <c r="C1544" s="4" t="s">
        <v>16</v>
      </c>
      <c r="D1544" s="4" t="s">
        <v>30</v>
      </c>
      <c r="E1544" s="3">
        <v>46204</v>
      </c>
      <c r="F1544" s="5">
        <v>57000</v>
      </c>
      <c r="G1544" s="5">
        <v>57000</v>
      </c>
      <c r="H1544" s="61">
        <v>760</v>
      </c>
      <c r="I1544" s="6">
        <f t="shared" si="24"/>
        <v>-56240</v>
      </c>
      <c r="J1544" s="9">
        <v>46254</v>
      </c>
      <c r="K1544" s="11" t="s">
        <v>1003</v>
      </c>
      <c r="L1544" s="11" t="s">
        <v>109</v>
      </c>
      <c r="M1544" s="44" t="s">
        <v>20</v>
      </c>
      <c r="N1544" s="3">
        <v>46259</v>
      </c>
    </row>
    <row r="1545" spans="1:14">
      <c r="A1545" s="4" t="s">
        <v>1180</v>
      </c>
      <c r="B1545" s="4" t="s">
        <v>1181</v>
      </c>
      <c r="C1545" s="4" t="s">
        <v>16</v>
      </c>
      <c r="D1545" s="4" t="s">
        <v>266</v>
      </c>
      <c r="E1545" s="3">
        <v>46221</v>
      </c>
      <c r="F1545" s="5">
        <v>15580</v>
      </c>
      <c r="G1545" s="5">
        <v>15580</v>
      </c>
      <c r="H1545" s="61">
        <v>15580</v>
      </c>
      <c r="I1545" s="6">
        <f t="shared" si="24"/>
        <v>0</v>
      </c>
      <c r="J1545" s="9">
        <v>46254</v>
      </c>
      <c r="K1545" s="11"/>
      <c r="L1545" s="11"/>
      <c r="M1545" s="44" t="s">
        <v>20</v>
      </c>
      <c r="N1545" s="3">
        <v>46259</v>
      </c>
    </row>
    <row r="1546" spans="1:14">
      <c r="A1546" s="4" t="s">
        <v>1182</v>
      </c>
      <c r="B1546" s="4" t="s">
        <v>1183</v>
      </c>
      <c r="C1546" s="4" t="s">
        <v>16</v>
      </c>
      <c r="D1546" s="4" t="s">
        <v>36</v>
      </c>
      <c r="E1546" s="3">
        <v>46229</v>
      </c>
      <c r="F1546" s="5">
        <v>15960</v>
      </c>
      <c r="G1546" s="5">
        <v>15960</v>
      </c>
      <c r="H1546" s="61">
        <v>15960</v>
      </c>
      <c r="I1546" s="6">
        <f t="shared" si="24"/>
        <v>0</v>
      </c>
      <c r="J1546" s="9">
        <v>46248</v>
      </c>
      <c r="K1546" s="11" t="s">
        <v>327</v>
      </c>
      <c r="L1546" s="11" t="s">
        <v>11</v>
      </c>
      <c r="M1546" s="119" t="s">
        <v>20</v>
      </c>
      <c r="N1546" s="3">
        <v>46248</v>
      </c>
    </row>
    <row r="1547" spans="1:14">
      <c r="A1547" s="4" t="s">
        <v>1184</v>
      </c>
      <c r="B1547" s="4" t="s">
        <v>1185</v>
      </c>
      <c r="C1547" s="4" t="s">
        <v>16</v>
      </c>
      <c r="D1547" s="4" t="s">
        <v>127</v>
      </c>
      <c r="E1547" s="3">
        <v>46152</v>
      </c>
      <c r="F1547" s="5">
        <v>760</v>
      </c>
      <c r="G1547" s="5">
        <v>760</v>
      </c>
      <c r="H1547" s="61">
        <v>0</v>
      </c>
      <c r="I1547" s="6">
        <f t="shared" si="24"/>
        <v>-760</v>
      </c>
      <c r="J1547" s="9">
        <v>46253</v>
      </c>
      <c r="K1547" s="11" t="s">
        <v>547</v>
      </c>
      <c r="L1547" s="11" t="s">
        <v>254</v>
      </c>
      <c r="M1547" s="44" t="s">
        <v>20</v>
      </c>
      <c r="N1547" s="3">
        <v>46254</v>
      </c>
    </row>
    <row r="1548" spans="1:14">
      <c r="A1548" s="4" t="s">
        <v>1184</v>
      </c>
      <c r="B1548" s="4" t="s">
        <v>1185</v>
      </c>
      <c r="C1548" s="4" t="s">
        <v>89</v>
      </c>
      <c r="D1548" s="4" t="s">
        <v>127</v>
      </c>
      <c r="E1548" s="3">
        <v>46152</v>
      </c>
      <c r="F1548" s="5">
        <v>0</v>
      </c>
      <c r="G1548" s="5">
        <v>1900</v>
      </c>
      <c r="H1548" s="61">
        <v>0</v>
      </c>
      <c r="I1548" s="6">
        <f t="shared" si="24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>
      <c r="A1549" s="4" t="s">
        <v>1184</v>
      </c>
      <c r="B1549" s="4" t="s">
        <v>1185</v>
      </c>
      <c r="C1549" s="4" t="s">
        <v>16</v>
      </c>
      <c r="D1549" s="4">
        <v>8082026</v>
      </c>
      <c r="E1549" s="3"/>
      <c r="F1549" s="5">
        <v>197220</v>
      </c>
      <c r="G1549" s="5"/>
      <c r="H1549" s="61">
        <v>197220</v>
      </c>
      <c r="I1549" s="6">
        <f t="shared" si="24"/>
        <v>0</v>
      </c>
      <c r="J1549" s="9">
        <v>46253</v>
      </c>
      <c r="K1549" s="11" t="s">
        <v>547</v>
      </c>
      <c r="L1549" s="11" t="s">
        <v>254</v>
      </c>
      <c r="M1549" s="119" t="s">
        <v>20</v>
      </c>
      <c r="N1549" s="3">
        <v>46254</v>
      </c>
    </row>
    <row r="1550" spans="1:14">
      <c r="A1550" s="4" t="s">
        <v>1186</v>
      </c>
      <c r="B1550" s="4" t="s">
        <v>1187</v>
      </c>
      <c r="C1550" s="4" t="s">
        <v>89</v>
      </c>
      <c r="D1550" s="4" t="s">
        <v>615</v>
      </c>
      <c r="E1550" s="3">
        <v>46130</v>
      </c>
      <c r="F1550" s="5">
        <v>-1900</v>
      </c>
      <c r="G1550" s="5">
        <v>1900</v>
      </c>
      <c r="H1550" s="61">
        <v>0</v>
      </c>
      <c r="I1550" s="6">
        <f t="shared" si="24"/>
        <v>1900</v>
      </c>
      <c r="J1550" s="9">
        <v>46254</v>
      </c>
      <c r="K1550" s="31" t="s">
        <v>1188</v>
      </c>
      <c r="L1550" s="31" t="s">
        <v>382</v>
      </c>
      <c r="M1550" s="44" t="s">
        <v>20</v>
      </c>
      <c r="N1550" s="3">
        <v>46259</v>
      </c>
    </row>
    <row r="1551" spans="1:14">
      <c r="A1551" s="4" t="s">
        <v>1186</v>
      </c>
      <c r="B1551" s="4" t="s">
        <v>1187</v>
      </c>
      <c r="C1551" s="4" t="s">
        <v>16</v>
      </c>
      <c r="D1551" s="4" t="s">
        <v>615</v>
      </c>
      <c r="E1551" s="3">
        <v>46130</v>
      </c>
      <c r="F1551" s="5">
        <v>2280</v>
      </c>
      <c r="G1551" s="5">
        <v>380</v>
      </c>
      <c r="H1551" s="61">
        <v>3040</v>
      </c>
      <c r="I1551" s="6">
        <f t="shared" si="24"/>
        <v>760</v>
      </c>
      <c r="J1551" s="9">
        <v>46255</v>
      </c>
      <c r="K1551" s="31" t="s">
        <v>1188</v>
      </c>
      <c r="L1551" s="31" t="s">
        <v>382</v>
      </c>
      <c r="M1551" s="44" t="s">
        <v>20</v>
      </c>
      <c r="N1551" s="3">
        <v>46259</v>
      </c>
    </row>
    <row r="1552" spans="1:14">
      <c r="A1552" s="4" t="s">
        <v>1186</v>
      </c>
      <c r="B1552" s="4" t="s">
        <v>1187</v>
      </c>
      <c r="C1552" s="4" t="s">
        <v>16</v>
      </c>
      <c r="D1552" s="4" t="s">
        <v>127</v>
      </c>
      <c r="E1552" s="3">
        <v>46150</v>
      </c>
      <c r="F1552" s="5">
        <v>68400</v>
      </c>
      <c r="G1552" s="5">
        <v>68400</v>
      </c>
      <c r="H1552" s="61">
        <v>68400</v>
      </c>
      <c r="I1552" s="6">
        <f t="shared" si="24"/>
        <v>0</v>
      </c>
      <c r="J1552" s="9">
        <v>46256</v>
      </c>
      <c r="K1552" s="31" t="s">
        <v>1188</v>
      </c>
      <c r="L1552" s="31" t="s">
        <v>1189</v>
      </c>
      <c r="M1552" s="44" t="s">
        <v>20</v>
      </c>
      <c r="N1552" s="3">
        <v>46259</v>
      </c>
    </row>
    <row r="1553" spans="1:14">
      <c r="A1553" s="4" t="s">
        <v>1190</v>
      </c>
      <c r="B1553" s="4" t="s">
        <v>1191</v>
      </c>
      <c r="C1553" s="4" t="s">
        <v>89</v>
      </c>
      <c r="D1553" s="4" t="s">
        <v>623</v>
      </c>
      <c r="E1553" s="3">
        <v>46098</v>
      </c>
      <c r="F1553" s="5">
        <v>760</v>
      </c>
      <c r="G1553" s="5">
        <v>760</v>
      </c>
      <c r="H1553" s="61">
        <v>0</v>
      </c>
      <c r="I1553" s="6">
        <f t="shared" si="24"/>
        <v>-760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>
      <c r="A1554" s="4" t="s">
        <v>1190</v>
      </c>
      <c r="B1554" s="4" t="s">
        <v>1191</v>
      </c>
      <c r="C1554" s="4" t="s">
        <v>89</v>
      </c>
      <c r="D1554" s="4" t="s">
        <v>110</v>
      </c>
      <c r="E1554" s="3">
        <v>46116</v>
      </c>
      <c r="F1554" s="5">
        <v>70680</v>
      </c>
      <c r="G1554" s="5">
        <v>102980</v>
      </c>
      <c r="H1554" s="61">
        <v>0</v>
      </c>
      <c r="I1554" s="6">
        <f t="shared" si="24"/>
        <v>-70680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>
      <c r="A1555" s="4" t="s">
        <v>1190</v>
      </c>
      <c r="B1555" s="4" t="s">
        <v>1191</v>
      </c>
      <c r="C1555" s="4" t="s">
        <v>89</v>
      </c>
      <c r="D1555" s="4" t="s">
        <v>449</v>
      </c>
      <c r="E1555" s="3">
        <v>46124</v>
      </c>
      <c r="F1555" s="5">
        <v>11400</v>
      </c>
      <c r="G1555" s="5">
        <v>9500</v>
      </c>
      <c r="H1555" s="61">
        <v>0</v>
      </c>
      <c r="I1555" s="6">
        <f t="shared" si="24"/>
        <v>-11400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>
      <c r="A1556" s="4" t="s">
        <v>1190</v>
      </c>
      <c r="B1556" s="4" t="s">
        <v>1191</v>
      </c>
      <c r="C1556" s="4" t="s">
        <v>89</v>
      </c>
      <c r="D1556" s="4" t="s">
        <v>84</v>
      </c>
      <c r="E1556" s="3">
        <v>46131</v>
      </c>
      <c r="F1556" s="5">
        <v>1900</v>
      </c>
      <c r="G1556" s="5">
        <v>1900</v>
      </c>
      <c r="H1556" s="61">
        <v>0</v>
      </c>
      <c r="I1556" s="6">
        <f t="shared" si="24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>
      <c r="A1557" s="4" t="s">
        <v>1190</v>
      </c>
      <c r="B1557" s="4" t="s">
        <v>1191</v>
      </c>
      <c r="C1557" s="4" t="s">
        <v>89</v>
      </c>
      <c r="D1557" s="4" t="s">
        <v>111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4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>
      <c r="A1558" s="4" t="s">
        <v>1190</v>
      </c>
      <c r="B1558" s="4" t="s">
        <v>1191</v>
      </c>
      <c r="C1558" s="4" t="s">
        <v>89</v>
      </c>
      <c r="D1558" s="4" t="s">
        <v>126</v>
      </c>
      <c r="E1558" s="3">
        <v>46135</v>
      </c>
      <c r="F1558" s="5">
        <v>1900</v>
      </c>
      <c r="G1558" s="5">
        <v>1900</v>
      </c>
      <c r="H1558" s="61">
        <v>0</v>
      </c>
      <c r="I1558" s="6">
        <f t="shared" si="24"/>
        <v>-1900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>
      <c r="A1559" s="4" t="s">
        <v>1190</v>
      </c>
      <c r="B1559" s="4" t="s">
        <v>1191</v>
      </c>
      <c r="C1559" s="4" t="s">
        <v>89</v>
      </c>
      <c r="D1559" s="4" t="s">
        <v>269</v>
      </c>
      <c r="E1559" s="3">
        <v>46148</v>
      </c>
      <c r="F1559" s="5">
        <v>7600</v>
      </c>
      <c r="G1559" s="5">
        <v>1900</v>
      </c>
      <c r="H1559" s="61">
        <v>0</v>
      </c>
      <c r="I1559" s="6">
        <f t="shared" si="24"/>
        <v>-7600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>
      <c r="A1560" s="4" t="s">
        <v>1190</v>
      </c>
      <c r="B1560" s="4" t="s">
        <v>1191</v>
      </c>
      <c r="C1560" s="4" t="s">
        <v>23</v>
      </c>
      <c r="D1560" s="4" t="s">
        <v>158</v>
      </c>
      <c r="E1560" s="3">
        <v>46160</v>
      </c>
      <c r="F1560" s="5">
        <v>3040</v>
      </c>
      <c r="G1560" s="5">
        <v>3040</v>
      </c>
      <c r="H1560" s="61">
        <v>0</v>
      </c>
      <c r="I1560" s="6">
        <f t="shared" si="24"/>
        <v>-3040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>
      <c r="A1561" s="4" t="s">
        <v>1190</v>
      </c>
      <c r="B1561" s="4" t="s">
        <v>1191</v>
      </c>
      <c r="C1561" s="4" t="s">
        <v>16</v>
      </c>
      <c r="D1561" s="4" t="s">
        <v>158</v>
      </c>
      <c r="E1561" s="3">
        <v>46160</v>
      </c>
      <c r="F1561" s="5">
        <v>8360</v>
      </c>
      <c r="G1561" s="5">
        <v>4560</v>
      </c>
      <c r="H1561" s="61">
        <v>9500</v>
      </c>
      <c r="I1561" s="6">
        <f t="shared" si="24"/>
        <v>1140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>
      <c r="A1562" s="4" t="s">
        <v>1190</v>
      </c>
      <c r="B1562" s="4" t="s">
        <v>1191</v>
      </c>
      <c r="C1562" s="4" t="s">
        <v>89</v>
      </c>
      <c r="D1562" s="4" t="s">
        <v>115</v>
      </c>
      <c r="E1562" s="3">
        <v>46167</v>
      </c>
      <c r="F1562" s="5">
        <v>760</v>
      </c>
      <c r="G1562" s="5">
        <v>760</v>
      </c>
      <c r="H1562" s="61">
        <v>760</v>
      </c>
      <c r="I1562" s="6">
        <f t="shared" si="24"/>
        <v>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>
      <c r="A1563" s="4" t="s">
        <v>1190</v>
      </c>
      <c r="B1563" s="4" t="s">
        <v>1191</v>
      </c>
      <c r="C1563" s="4" t="s">
        <v>89</v>
      </c>
      <c r="D1563" s="4" t="s">
        <v>116</v>
      </c>
      <c r="E1563" s="3">
        <v>46177</v>
      </c>
      <c r="F1563" s="5">
        <v>14440</v>
      </c>
      <c r="G1563" s="5">
        <v>10640</v>
      </c>
      <c r="H1563" s="61">
        <v>10640</v>
      </c>
      <c r="I1563" s="6">
        <f t="shared" si="24"/>
        <v>-3800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>
      <c r="A1564" s="4" t="s">
        <v>1190</v>
      </c>
      <c r="B1564" s="4" t="s">
        <v>1191</v>
      </c>
      <c r="C1564" s="4" t="s">
        <v>23</v>
      </c>
      <c r="D1564" s="4" t="s">
        <v>21</v>
      </c>
      <c r="E1564" s="3">
        <v>46183</v>
      </c>
      <c r="F1564" s="5">
        <v>4940</v>
      </c>
      <c r="G1564" s="5">
        <v>3040</v>
      </c>
      <c r="H1564" s="61">
        <v>0</v>
      </c>
      <c r="I1564" s="6">
        <f t="shared" si="24"/>
        <v>-4940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>
      <c r="A1565" s="4" t="s">
        <v>1190</v>
      </c>
      <c r="B1565" s="4" t="s">
        <v>1191</v>
      </c>
      <c r="C1565" s="4" t="s">
        <v>23</v>
      </c>
      <c r="D1565" s="4" t="s">
        <v>65</v>
      </c>
      <c r="E1565" s="3">
        <v>46183</v>
      </c>
      <c r="F1565" s="5">
        <v>128060</v>
      </c>
      <c r="G1565" s="5">
        <v>126160</v>
      </c>
      <c r="H1565" s="61">
        <v>153520</v>
      </c>
      <c r="I1565" s="6">
        <f t="shared" ref="I1565:I1626" si="25">IF(H1565="","",H1565-F1565)</f>
        <v>25460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>
      <c r="A1566" s="4" t="s">
        <v>1190</v>
      </c>
      <c r="B1566" s="4" t="s">
        <v>1191</v>
      </c>
      <c r="C1566" s="4" t="s">
        <v>89</v>
      </c>
      <c r="D1566" s="4" t="s">
        <v>21</v>
      </c>
      <c r="E1566" s="3">
        <v>46183</v>
      </c>
      <c r="F1566" s="5">
        <v>15200</v>
      </c>
      <c r="G1566" s="5">
        <v>15200</v>
      </c>
      <c r="H1566" s="61">
        <v>61940</v>
      </c>
      <c r="I1566" s="6">
        <f t="shared" si="25"/>
        <v>46740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>
      <c r="A1567" s="4" t="s">
        <v>1190</v>
      </c>
      <c r="B1567" s="4" t="s">
        <v>1191</v>
      </c>
      <c r="C1567" s="4" t="s">
        <v>89</v>
      </c>
      <c r="D1567" s="4" t="s">
        <v>65</v>
      </c>
      <c r="E1567" s="3">
        <v>46183</v>
      </c>
      <c r="F1567" s="5">
        <v>5700</v>
      </c>
      <c r="G1567" s="5">
        <v>5700</v>
      </c>
      <c r="H1567" s="61">
        <v>0</v>
      </c>
      <c r="I1567" s="6">
        <f t="shared" si="25"/>
        <v>-5700</v>
      </c>
      <c r="J1567" s="9">
        <v>46245</v>
      </c>
      <c r="K1567" s="11" t="s">
        <v>317</v>
      </c>
      <c r="L1567" s="11" t="s">
        <v>109</v>
      </c>
      <c r="M1567" s="44" t="s">
        <v>20</v>
      </c>
      <c r="N1567" s="3">
        <v>46246</v>
      </c>
    </row>
    <row r="1568" spans="1:14">
      <c r="A1568" s="4" t="s">
        <v>1192</v>
      </c>
      <c r="B1568" s="4" t="s">
        <v>1193</v>
      </c>
      <c r="C1568" s="4" t="s">
        <v>16</v>
      </c>
      <c r="D1568" s="4" t="s">
        <v>113</v>
      </c>
      <c r="E1568" s="3">
        <v>46144</v>
      </c>
      <c r="F1568" s="5">
        <v>34600</v>
      </c>
      <c r="G1568" s="5">
        <v>50860</v>
      </c>
      <c r="H1568" s="61">
        <v>380</v>
      </c>
      <c r="I1568" s="6">
        <f t="shared" ref="I1568:I1579" si="26">IF(H1568="","",H1568-F1568)</f>
        <v>-34220</v>
      </c>
      <c r="J1568" s="9">
        <v>46258</v>
      </c>
      <c r="K1568" s="31" t="s">
        <v>1194</v>
      </c>
      <c r="L1568" s="31" t="s">
        <v>254</v>
      </c>
      <c r="M1568" s="44" t="s">
        <v>20</v>
      </c>
      <c r="N1568" s="3">
        <v>46261</v>
      </c>
    </row>
    <row r="1569" spans="1:14">
      <c r="A1569" s="4" t="s">
        <v>1192</v>
      </c>
      <c r="B1569" s="4" t="s">
        <v>1193</v>
      </c>
      <c r="C1569" s="4" t="s">
        <v>25</v>
      </c>
      <c r="D1569" s="4" t="s">
        <v>149</v>
      </c>
      <c r="E1569" s="3">
        <v>46160</v>
      </c>
      <c r="F1569" s="5">
        <v>1520</v>
      </c>
      <c r="G1569" s="5">
        <v>1520</v>
      </c>
      <c r="H1569" s="61">
        <v>0</v>
      </c>
      <c r="I1569" s="6">
        <f t="shared" si="26"/>
        <v>-1520</v>
      </c>
      <c r="J1569" s="9">
        <v>46258</v>
      </c>
      <c r="K1569" s="31" t="s">
        <v>1194</v>
      </c>
      <c r="L1569" s="31" t="s">
        <v>254</v>
      </c>
      <c r="M1569" s="44" t="s">
        <v>20</v>
      </c>
      <c r="N1569" s="3">
        <v>46275</v>
      </c>
    </row>
    <row r="1570" spans="1:14">
      <c r="A1570" s="4" t="s">
        <v>1192</v>
      </c>
      <c r="B1570" s="4" t="s">
        <v>1193</v>
      </c>
      <c r="C1570" s="4" t="s">
        <v>16</v>
      </c>
      <c r="D1570" s="4" t="s">
        <v>153</v>
      </c>
      <c r="E1570" s="3">
        <v>46165</v>
      </c>
      <c r="F1570" s="5">
        <v>0</v>
      </c>
      <c r="G1570" s="5">
        <v>460</v>
      </c>
      <c r="H1570" s="61">
        <v>0</v>
      </c>
      <c r="I1570" s="6">
        <f t="shared" si="26"/>
        <v>0</v>
      </c>
      <c r="J1570" s="9">
        <v>46258</v>
      </c>
      <c r="K1570" s="31" t="s">
        <v>1194</v>
      </c>
      <c r="L1570" s="31" t="s">
        <v>254</v>
      </c>
      <c r="M1570" s="44" t="s">
        <v>20</v>
      </c>
      <c r="N1570" s="3">
        <v>46275</v>
      </c>
    </row>
    <row r="1571" spans="1:14">
      <c r="A1571" s="4" t="s">
        <v>1192</v>
      </c>
      <c r="B1571" s="4" t="s">
        <v>1193</v>
      </c>
      <c r="C1571" s="4" t="s">
        <v>16</v>
      </c>
      <c r="D1571" s="4" t="s">
        <v>116</v>
      </c>
      <c r="E1571" s="3">
        <v>46179</v>
      </c>
      <c r="F1571" s="5">
        <v>0</v>
      </c>
      <c r="G1571" s="5">
        <v>3800</v>
      </c>
      <c r="H1571" s="61">
        <v>2660</v>
      </c>
      <c r="I1571" s="6">
        <f t="shared" si="26"/>
        <v>2660</v>
      </c>
      <c r="J1571" s="9">
        <v>46258</v>
      </c>
      <c r="K1571" s="31" t="s">
        <v>1194</v>
      </c>
      <c r="L1571" s="31" t="s">
        <v>254</v>
      </c>
      <c r="M1571" s="44" t="s">
        <v>909</v>
      </c>
      <c r="N1571" s="4"/>
    </row>
    <row r="1572" spans="1:14">
      <c r="A1572" s="4" t="s">
        <v>1192</v>
      </c>
      <c r="B1572" s="4" t="s">
        <v>1193</v>
      </c>
      <c r="C1572" s="4" t="s">
        <v>16</v>
      </c>
      <c r="D1572" s="4" t="s">
        <v>94</v>
      </c>
      <c r="E1572" s="3">
        <v>46179</v>
      </c>
      <c r="F1572" s="5">
        <v>20900</v>
      </c>
      <c r="G1572" s="5">
        <v>11400</v>
      </c>
      <c r="H1572" s="61">
        <v>3800</v>
      </c>
      <c r="I1572" s="6">
        <f t="shared" si="26"/>
        <v>-17100</v>
      </c>
      <c r="J1572" s="9">
        <v>46258</v>
      </c>
      <c r="K1572" s="31" t="s">
        <v>1194</v>
      </c>
      <c r="L1572" s="31" t="s">
        <v>254</v>
      </c>
      <c r="M1572" s="44" t="s">
        <v>909</v>
      </c>
      <c r="N1572" s="4"/>
    </row>
    <row r="1573" spans="1:14">
      <c r="A1573" s="4" t="s">
        <v>1192</v>
      </c>
      <c r="B1573" s="4" t="s">
        <v>1193</v>
      </c>
      <c r="C1573" s="4" t="s">
        <v>25</v>
      </c>
      <c r="D1573" s="4" t="s">
        <v>116</v>
      </c>
      <c r="E1573" s="3">
        <v>46179</v>
      </c>
      <c r="F1573" s="5">
        <v>6840</v>
      </c>
      <c r="G1573" s="5">
        <v>9120</v>
      </c>
      <c r="H1573" s="61">
        <v>0</v>
      </c>
      <c r="I1573" s="6">
        <f t="shared" si="26"/>
        <v>-6840</v>
      </c>
      <c r="J1573" s="9">
        <v>46258</v>
      </c>
      <c r="K1573" s="31" t="s">
        <v>1194</v>
      </c>
      <c r="L1573" s="31" t="s">
        <v>254</v>
      </c>
      <c r="M1573" s="44" t="s">
        <v>909</v>
      </c>
      <c r="N1573" s="4"/>
    </row>
    <row r="1574" spans="1:14">
      <c r="A1574" s="4" t="s">
        <v>1192</v>
      </c>
      <c r="B1574" s="4" t="s">
        <v>1193</v>
      </c>
      <c r="C1574" s="4" t="s">
        <v>25</v>
      </c>
      <c r="D1574" s="4" t="s">
        <v>94</v>
      </c>
      <c r="E1574" s="3">
        <v>46179</v>
      </c>
      <c r="F1574" s="5">
        <v>630</v>
      </c>
      <c r="G1574" s="5">
        <v>73970</v>
      </c>
      <c r="H1574" s="61">
        <v>0</v>
      </c>
      <c r="I1574" s="6">
        <f t="shared" si="26"/>
        <v>-630</v>
      </c>
      <c r="J1574" s="9">
        <v>46258</v>
      </c>
      <c r="K1574" s="31" t="s">
        <v>1194</v>
      </c>
      <c r="L1574" s="31" t="s">
        <v>254</v>
      </c>
      <c r="M1574" s="44" t="s">
        <v>909</v>
      </c>
      <c r="N1574" s="4"/>
    </row>
    <row r="1575" spans="1:14">
      <c r="A1575" s="4" t="s">
        <v>1192</v>
      </c>
      <c r="B1575" s="4" t="s">
        <v>1193</v>
      </c>
      <c r="C1575" s="4" t="s">
        <v>16</v>
      </c>
      <c r="D1575" s="4" t="s">
        <v>473</v>
      </c>
      <c r="E1575" s="3">
        <v>46205</v>
      </c>
      <c r="F1575" s="5">
        <v>48936</v>
      </c>
      <c r="G1575" s="5">
        <v>230280</v>
      </c>
      <c r="H1575" s="61">
        <v>99180</v>
      </c>
      <c r="I1575" s="6">
        <f t="shared" si="26"/>
        <v>50244</v>
      </c>
      <c r="J1575" s="9">
        <v>46258</v>
      </c>
      <c r="K1575" s="31" t="s">
        <v>1194</v>
      </c>
      <c r="L1575" s="31" t="s">
        <v>254</v>
      </c>
      <c r="M1575" s="44" t="s">
        <v>909</v>
      </c>
      <c r="N1575" s="4"/>
    </row>
    <row r="1576" spans="1:14">
      <c r="A1576" s="4" t="s">
        <v>1192</v>
      </c>
      <c r="B1576" s="4" t="s">
        <v>1193</v>
      </c>
      <c r="C1576" s="4" t="s">
        <v>25</v>
      </c>
      <c r="D1576" s="4" t="s">
        <v>473</v>
      </c>
      <c r="E1576" s="3">
        <v>46205</v>
      </c>
      <c r="F1576" s="5">
        <v>78090</v>
      </c>
      <c r="G1576" s="5">
        <v>78090</v>
      </c>
      <c r="H1576" s="61">
        <v>0</v>
      </c>
      <c r="I1576" s="6">
        <f t="shared" si="26"/>
        <v>-78090</v>
      </c>
      <c r="J1576" s="9">
        <v>46258</v>
      </c>
      <c r="K1576" s="31" t="s">
        <v>1194</v>
      </c>
      <c r="L1576" s="31" t="s">
        <v>254</v>
      </c>
      <c r="M1576" s="44" t="s">
        <v>909</v>
      </c>
      <c r="N1576" s="4"/>
    </row>
    <row r="1577" spans="1:14">
      <c r="A1577" s="4" t="s">
        <v>1192</v>
      </c>
      <c r="B1577" s="4" t="s">
        <v>1193</v>
      </c>
      <c r="C1577" s="4" t="s">
        <v>16</v>
      </c>
      <c r="D1577" s="4" t="s">
        <v>117</v>
      </c>
      <c r="E1577" s="3">
        <v>46208</v>
      </c>
      <c r="F1577" s="5">
        <v>96520</v>
      </c>
      <c r="G1577" s="5">
        <v>96520</v>
      </c>
      <c r="H1577" s="61">
        <v>81700</v>
      </c>
      <c r="I1577" s="6">
        <f t="shared" si="26"/>
        <v>-14820</v>
      </c>
      <c r="J1577" s="9">
        <v>46258</v>
      </c>
      <c r="K1577" s="31" t="s">
        <v>1194</v>
      </c>
      <c r="L1577" s="31" t="s">
        <v>254</v>
      </c>
      <c r="M1577" s="44" t="s">
        <v>909</v>
      </c>
      <c r="N1577" s="4"/>
    </row>
    <row r="1578" spans="1:14">
      <c r="A1578" s="4" t="s">
        <v>1192</v>
      </c>
      <c r="B1578" s="4" t="s">
        <v>1193</v>
      </c>
      <c r="C1578" s="4" t="s">
        <v>16</v>
      </c>
      <c r="D1578" s="4" t="s">
        <v>166</v>
      </c>
      <c r="E1578" s="3">
        <v>46235</v>
      </c>
      <c r="F1578" s="5">
        <v>55900</v>
      </c>
      <c r="G1578" s="5">
        <v>123500</v>
      </c>
      <c r="H1578" s="61">
        <v>95000</v>
      </c>
      <c r="I1578" s="6">
        <f t="shared" si="26"/>
        <v>39100</v>
      </c>
      <c r="J1578" s="9">
        <v>46258</v>
      </c>
      <c r="K1578" s="31" t="s">
        <v>1194</v>
      </c>
      <c r="L1578" s="31" t="s">
        <v>254</v>
      </c>
      <c r="M1578" s="44" t="s">
        <v>20</v>
      </c>
      <c r="N1578" s="3">
        <v>46261</v>
      </c>
    </row>
    <row r="1579" spans="1:14">
      <c r="A1579" s="4" t="s">
        <v>1192</v>
      </c>
      <c r="B1579" s="4" t="s">
        <v>1193</v>
      </c>
      <c r="C1579" s="4" t="s">
        <v>16</v>
      </c>
      <c r="D1579" s="4" t="s">
        <v>150</v>
      </c>
      <c r="E1579" s="3">
        <v>46235</v>
      </c>
      <c r="F1579" s="5">
        <v>69540</v>
      </c>
      <c r="G1579" s="5">
        <v>256500</v>
      </c>
      <c r="H1579" s="61">
        <v>102220</v>
      </c>
      <c r="I1579" s="6">
        <f t="shared" si="26"/>
        <v>32680</v>
      </c>
      <c r="J1579" s="9">
        <v>46258</v>
      </c>
      <c r="K1579" s="31" t="s">
        <v>1194</v>
      </c>
      <c r="L1579" s="31" t="s">
        <v>254</v>
      </c>
      <c r="M1579" s="44" t="s">
        <v>909</v>
      </c>
      <c r="N1579" s="4"/>
    </row>
    <row r="1580" spans="1:14">
      <c r="A1580" s="13" t="s">
        <v>1195</v>
      </c>
      <c r="B1580" s="13" t="s">
        <v>949</v>
      </c>
      <c r="C1580" s="13" t="s">
        <v>16</v>
      </c>
      <c r="D1580" s="13" t="s">
        <v>127</v>
      </c>
      <c r="E1580" s="14">
        <v>46151</v>
      </c>
      <c r="F1580" s="15">
        <v>6080</v>
      </c>
      <c r="G1580" s="15">
        <v>6080</v>
      </c>
      <c r="H1580" s="63">
        <v>3800</v>
      </c>
      <c r="I1580" s="6">
        <f t="shared" si="25"/>
        <v>-2280</v>
      </c>
      <c r="J1580" s="16">
        <v>46244</v>
      </c>
      <c r="K1580" s="4" t="s">
        <v>479</v>
      </c>
      <c r="L1580" s="4" t="s">
        <v>109</v>
      </c>
      <c r="M1580" s="44" t="s">
        <v>20</v>
      </c>
      <c r="N1580" s="3">
        <v>46245</v>
      </c>
    </row>
    <row r="1581" spans="1:14">
      <c r="A1581" s="13" t="s">
        <v>1195</v>
      </c>
      <c r="B1581" s="13" t="s">
        <v>949</v>
      </c>
      <c r="C1581" s="13" t="s">
        <v>25</v>
      </c>
      <c r="D1581" s="13" t="s">
        <v>127</v>
      </c>
      <c r="E1581" s="14">
        <v>46151</v>
      </c>
      <c r="F1581" s="15">
        <v>15720</v>
      </c>
      <c r="G1581" s="15">
        <v>15720</v>
      </c>
      <c r="H1581" s="63">
        <v>0</v>
      </c>
      <c r="I1581" s="6">
        <f t="shared" si="25"/>
        <v>-15720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>
      <c r="A1582" s="13" t="s">
        <v>1195</v>
      </c>
      <c r="B1582" s="13" t="s">
        <v>949</v>
      </c>
      <c r="C1582" s="13" t="s">
        <v>16</v>
      </c>
      <c r="D1582" s="13" t="s">
        <v>491</v>
      </c>
      <c r="E1582" s="14">
        <v>46184</v>
      </c>
      <c r="F1582" s="15">
        <v>33060</v>
      </c>
      <c r="G1582" s="15">
        <v>33060</v>
      </c>
      <c r="H1582" s="63">
        <v>68400</v>
      </c>
      <c r="I1582" s="6">
        <f t="shared" si="25"/>
        <v>35340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>
      <c r="A1583" s="13" t="s">
        <v>1195</v>
      </c>
      <c r="B1583" s="13" t="s">
        <v>949</v>
      </c>
      <c r="C1583" s="13" t="s">
        <v>16</v>
      </c>
      <c r="D1583" s="13" t="s">
        <v>395</v>
      </c>
      <c r="E1583" s="14">
        <v>46184</v>
      </c>
      <c r="F1583" s="15">
        <v>9500</v>
      </c>
      <c r="G1583" s="15">
        <v>9500</v>
      </c>
      <c r="H1583" s="63">
        <v>11400</v>
      </c>
      <c r="I1583" s="6">
        <f t="shared" si="25"/>
        <v>1900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>
      <c r="A1584" s="13" t="s">
        <v>1195</v>
      </c>
      <c r="B1584" s="13" t="s">
        <v>949</v>
      </c>
      <c r="C1584" s="13" t="s">
        <v>25</v>
      </c>
      <c r="D1584" s="13" t="s">
        <v>395</v>
      </c>
      <c r="E1584" s="14">
        <v>46184</v>
      </c>
      <c r="F1584" s="15">
        <v>22420</v>
      </c>
      <c r="G1584" s="15">
        <v>22420</v>
      </c>
      <c r="H1584" s="63">
        <v>0</v>
      </c>
      <c r="I1584" s="6">
        <f t="shared" si="25"/>
        <v>-22420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>
      <c r="A1585" s="13" t="s">
        <v>1195</v>
      </c>
      <c r="B1585" s="13" t="s">
        <v>949</v>
      </c>
      <c r="C1585" s="13" t="s">
        <v>25</v>
      </c>
      <c r="D1585" s="13" t="s">
        <v>491</v>
      </c>
      <c r="E1585" s="14">
        <v>46184</v>
      </c>
      <c r="F1585" s="15">
        <v>5700</v>
      </c>
      <c r="G1585" s="15">
        <v>5700</v>
      </c>
      <c r="H1585" s="63">
        <v>0</v>
      </c>
      <c r="I1585" s="6">
        <f t="shared" si="25"/>
        <v>-5700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>
      <c r="A1586" s="13" t="s">
        <v>1195</v>
      </c>
      <c r="B1586" s="13" t="s">
        <v>949</v>
      </c>
      <c r="C1586" s="13" t="s">
        <v>16</v>
      </c>
      <c r="D1586" s="13" t="s">
        <v>1080</v>
      </c>
      <c r="E1586" s="14">
        <v>46219</v>
      </c>
      <c r="F1586" s="15">
        <v>128060</v>
      </c>
      <c r="G1586" s="15">
        <v>128060</v>
      </c>
      <c r="H1586" s="63">
        <v>129200</v>
      </c>
      <c r="I1586" s="6">
        <f t="shared" si="25"/>
        <v>1140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>
      <c r="A1587" s="13" t="s">
        <v>1195</v>
      </c>
      <c r="B1587" s="13" t="s">
        <v>949</v>
      </c>
      <c r="C1587" s="13" t="s">
        <v>16</v>
      </c>
      <c r="D1587" s="13" t="s">
        <v>1196</v>
      </c>
      <c r="E1587" s="14">
        <v>46219</v>
      </c>
      <c r="F1587" s="15">
        <v>463980</v>
      </c>
      <c r="G1587" s="15">
        <v>463980</v>
      </c>
      <c r="H1587" s="63">
        <v>368980</v>
      </c>
      <c r="I1587" s="6">
        <f t="shared" si="25"/>
        <v>-95000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>
      <c r="A1588" s="13" t="s">
        <v>1195</v>
      </c>
      <c r="B1588" s="13" t="s">
        <v>949</v>
      </c>
      <c r="C1588" s="13" t="s">
        <v>16</v>
      </c>
      <c r="D1588" s="13" t="s">
        <v>368</v>
      </c>
      <c r="E1588" s="14">
        <v>46224</v>
      </c>
      <c r="F1588" s="15">
        <v>96900</v>
      </c>
      <c r="G1588" s="15">
        <v>96900</v>
      </c>
      <c r="H1588" s="63">
        <v>186580</v>
      </c>
      <c r="I1588" s="6">
        <f t="shared" si="25"/>
        <v>89680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>
      <c r="A1589" s="13" t="s">
        <v>1195</v>
      </c>
      <c r="B1589" s="13" t="s">
        <v>949</v>
      </c>
      <c r="C1589" s="13" t="s">
        <v>16</v>
      </c>
      <c r="D1589" s="13" t="s">
        <v>37</v>
      </c>
      <c r="E1589" s="14">
        <v>46232</v>
      </c>
      <c r="F1589" s="15">
        <v>278160</v>
      </c>
      <c r="G1589" s="15">
        <v>278160</v>
      </c>
      <c r="H1589" s="63">
        <v>200260</v>
      </c>
      <c r="I1589" s="6">
        <f t="shared" si="25"/>
        <v>-77900</v>
      </c>
      <c r="J1589" s="16">
        <v>46244</v>
      </c>
      <c r="K1589" s="19" t="s">
        <v>479</v>
      </c>
      <c r="L1589" s="19" t="s">
        <v>109</v>
      </c>
      <c r="M1589" s="44" t="s">
        <v>20</v>
      </c>
      <c r="N1589" s="3">
        <v>46245</v>
      </c>
    </row>
    <row r="1590" spans="1:14">
      <c r="A1590" s="4" t="s">
        <v>1197</v>
      </c>
      <c r="B1590" s="4" t="s">
        <v>969</v>
      </c>
      <c r="C1590" s="4" t="s">
        <v>89</v>
      </c>
      <c r="D1590" s="4" t="s">
        <v>134</v>
      </c>
      <c r="E1590" s="3">
        <v>46104</v>
      </c>
      <c r="F1590" s="5">
        <v>1900</v>
      </c>
      <c r="G1590" s="5">
        <v>7997</v>
      </c>
      <c r="H1590" s="61">
        <v>1900</v>
      </c>
      <c r="I1590" s="6">
        <f t="shared" si="25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>
      <c r="A1591" s="4" t="s">
        <v>1197</v>
      </c>
      <c r="B1591" s="4" t="s">
        <v>969</v>
      </c>
      <c r="C1591" s="4" t="s">
        <v>16</v>
      </c>
      <c r="D1591" s="4" t="s">
        <v>65</v>
      </c>
      <c r="E1591" s="3">
        <v>46187</v>
      </c>
      <c r="F1591" s="5">
        <v>13680</v>
      </c>
      <c r="G1591" s="5">
        <v>13680</v>
      </c>
      <c r="H1591" s="61">
        <v>13680</v>
      </c>
      <c r="I1591" s="6">
        <f t="shared" si="25"/>
        <v>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>
      <c r="A1592" s="4" t="s">
        <v>1197</v>
      </c>
      <c r="B1592" s="4" t="s">
        <v>969</v>
      </c>
      <c r="C1592" s="4" t="s">
        <v>89</v>
      </c>
      <c r="D1592" s="4" t="s">
        <v>65</v>
      </c>
      <c r="E1592" s="3">
        <v>46187</v>
      </c>
      <c r="F1592" s="5">
        <v>760</v>
      </c>
      <c r="G1592" s="5">
        <v>1900</v>
      </c>
      <c r="H1592" s="61">
        <v>0</v>
      </c>
      <c r="I1592" s="6">
        <f t="shared" si="25"/>
        <v>-760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3">
        <v>46272</v>
      </c>
    </row>
    <row r="1593" spans="1:14">
      <c r="A1593" s="4" t="s">
        <v>1197</v>
      </c>
      <c r="B1593" s="4" t="s">
        <v>969</v>
      </c>
      <c r="C1593" s="40" t="s">
        <v>891</v>
      </c>
      <c r="D1593" s="40">
        <v>8062026</v>
      </c>
      <c r="E1593" s="3"/>
      <c r="F1593" s="5">
        <v>190000</v>
      </c>
      <c r="G1593" s="5"/>
      <c r="H1593" s="61">
        <v>190000</v>
      </c>
      <c r="I1593" s="6">
        <f t="shared" si="25"/>
        <v>0</v>
      </c>
      <c r="J1593" s="9">
        <v>46256</v>
      </c>
      <c r="K1593" s="31" t="s">
        <v>2</v>
      </c>
      <c r="L1593" s="31" t="s">
        <v>109</v>
      </c>
      <c r="M1593" s="119" t="s">
        <v>20</v>
      </c>
      <c r="N1593" s="3">
        <v>46258</v>
      </c>
    </row>
    <row r="1594" spans="1:14">
      <c r="A1594" s="4" t="s">
        <v>1198</v>
      </c>
      <c r="B1594" s="4" t="s">
        <v>1199</v>
      </c>
      <c r="C1594" s="4" t="s">
        <v>16</v>
      </c>
      <c r="D1594" s="4" t="s">
        <v>1196</v>
      </c>
      <c r="E1594" s="3">
        <v>46219</v>
      </c>
      <c r="F1594" s="5">
        <v>110580</v>
      </c>
      <c r="G1594" s="5">
        <v>110580</v>
      </c>
      <c r="H1594" s="61">
        <v>51300</v>
      </c>
      <c r="I1594" s="6">
        <f t="shared" si="25"/>
        <v>-59280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3">
        <v>46275</v>
      </c>
    </row>
    <row r="1595" spans="1:14">
      <c r="A1595" s="4" t="s">
        <v>1198</v>
      </c>
      <c r="B1595" s="4" t="s">
        <v>1199</v>
      </c>
      <c r="C1595" s="4" t="s">
        <v>16</v>
      </c>
      <c r="D1595" s="4" t="s">
        <v>103</v>
      </c>
      <c r="E1595" s="3">
        <v>46220</v>
      </c>
      <c r="F1595" s="5">
        <v>81800</v>
      </c>
      <c r="G1595" s="5">
        <v>81800</v>
      </c>
      <c r="H1595" s="61">
        <v>131100</v>
      </c>
      <c r="I1595" s="6">
        <f t="shared" si="25"/>
        <v>49300</v>
      </c>
      <c r="J1595" s="9">
        <v>46256</v>
      </c>
      <c r="K1595" s="31" t="s">
        <v>2</v>
      </c>
      <c r="L1595" s="31" t="s">
        <v>109</v>
      </c>
      <c r="M1595" s="44" t="s">
        <v>20</v>
      </c>
      <c r="N1595" s="3">
        <v>46258</v>
      </c>
    </row>
    <row r="1596" spans="1:14">
      <c r="A1596" s="4" t="s">
        <v>1200</v>
      </c>
      <c r="B1596" s="4" t="s">
        <v>1201</v>
      </c>
      <c r="C1596" s="4" t="s">
        <v>16</v>
      </c>
      <c r="D1596" s="4" t="s">
        <v>26</v>
      </c>
      <c r="E1596" s="3">
        <v>46185</v>
      </c>
      <c r="F1596" s="5">
        <v>123120</v>
      </c>
      <c r="G1596" s="5">
        <v>109820</v>
      </c>
      <c r="H1596" s="61">
        <v>9120</v>
      </c>
      <c r="I1596" s="6">
        <f t="shared" si="25"/>
        <v>-114000</v>
      </c>
      <c r="J1596" s="9">
        <v>46256</v>
      </c>
      <c r="K1596" s="31" t="s">
        <v>2</v>
      </c>
      <c r="L1596" s="31" t="s">
        <v>109</v>
      </c>
      <c r="M1596" s="44" t="s">
        <v>909</v>
      </c>
      <c r="N1596" s="4"/>
    </row>
    <row r="1597" spans="1:14">
      <c r="A1597" s="4" t="s">
        <v>1200</v>
      </c>
      <c r="B1597" s="4" t="s">
        <v>1201</v>
      </c>
      <c r="C1597" s="4" t="s">
        <v>16</v>
      </c>
      <c r="D1597" s="4" t="s">
        <v>203</v>
      </c>
      <c r="E1597" s="3">
        <v>46193</v>
      </c>
      <c r="F1597" s="5">
        <v>118940</v>
      </c>
      <c r="G1597" s="5">
        <v>115140</v>
      </c>
      <c r="H1597" s="61">
        <v>89300</v>
      </c>
      <c r="I1597" s="6">
        <f t="shared" si="25"/>
        <v>-29640</v>
      </c>
      <c r="J1597" s="9">
        <v>46256</v>
      </c>
      <c r="K1597" s="31" t="s">
        <v>2</v>
      </c>
      <c r="L1597" s="31" t="s">
        <v>109</v>
      </c>
      <c r="M1597" s="44" t="s">
        <v>909</v>
      </c>
      <c r="N1597" s="4"/>
    </row>
    <row r="1598" spans="1:14">
      <c r="A1598" s="4" t="s">
        <v>1200</v>
      </c>
      <c r="B1598" s="4" t="s">
        <v>1201</v>
      </c>
      <c r="C1598" s="4" t="s">
        <v>16</v>
      </c>
      <c r="D1598" s="4" t="s">
        <v>33</v>
      </c>
      <c r="E1598" s="3">
        <v>46219</v>
      </c>
      <c r="F1598" s="5">
        <v>286520</v>
      </c>
      <c r="G1598" s="5">
        <v>286520</v>
      </c>
      <c r="H1598" s="61">
        <v>195320</v>
      </c>
      <c r="I1598" s="6">
        <f t="shared" si="25"/>
        <v>-91200</v>
      </c>
      <c r="J1598" s="9">
        <v>46256</v>
      </c>
      <c r="K1598" s="31" t="s">
        <v>2</v>
      </c>
      <c r="L1598" s="31" t="s">
        <v>109</v>
      </c>
      <c r="M1598" s="44" t="s">
        <v>909</v>
      </c>
      <c r="N1598" s="4"/>
    </row>
    <row r="1599" spans="1:14">
      <c r="A1599" s="4" t="s">
        <v>1200</v>
      </c>
      <c r="B1599" s="4" t="s">
        <v>1201</v>
      </c>
      <c r="C1599" s="4" t="s">
        <v>16</v>
      </c>
      <c r="D1599" s="4" t="s">
        <v>1065</v>
      </c>
      <c r="E1599" s="3">
        <v>46222</v>
      </c>
      <c r="F1599" s="5">
        <v>337440</v>
      </c>
      <c r="G1599" s="5">
        <v>329840</v>
      </c>
      <c r="H1599" s="61">
        <v>303620</v>
      </c>
      <c r="I1599" s="6">
        <f t="shared" si="25"/>
        <v>-33820</v>
      </c>
      <c r="J1599" s="9">
        <v>46256</v>
      </c>
      <c r="K1599" s="31" t="s">
        <v>2</v>
      </c>
      <c r="L1599" s="31" t="s">
        <v>109</v>
      </c>
      <c r="M1599" s="44" t="s">
        <v>909</v>
      </c>
      <c r="N1599" s="4"/>
    </row>
    <row r="1600" spans="1:14">
      <c r="A1600" s="4" t="s">
        <v>1200</v>
      </c>
      <c r="B1600" s="4" t="s">
        <v>1201</v>
      </c>
      <c r="C1600" s="4" t="s">
        <v>16</v>
      </c>
      <c r="D1600" s="4" t="s">
        <v>367</v>
      </c>
      <c r="E1600" s="3">
        <v>46222</v>
      </c>
      <c r="F1600" s="5">
        <v>41800</v>
      </c>
      <c r="G1600" s="5">
        <v>41800</v>
      </c>
      <c r="H1600" s="61">
        <v>112860</v>
      </c>
      <c r="I1600" s="6">
        <f t="shared" si="25"/>
        <v>71060</v>
      </c>
      <c r="J1600" s="9">
        <v>46256</v>
      </c>
      <c r="K1600" s="31" t="s">
        <v>2</v>
      </c>
      <c r="L1600" s="31" t="s">
        <v>109</v>
      </c>
      <c r="M1600" s="44" t="s">
        <v>909</v>
      </c>
      <c r="N1600" s="4"/>
    </row>
    <row r="1601" spans="1:14">
      <c r="A1601" s="4" t="s">
        <v>1200</v>
      </c>
      <c r="B1601" s="4" t="s">
        <v>1201</v>
      </c>
      <c r="C1601" s="4" t="s">
        <v>16</v>
      </c>
      <c r="D1601" s="4" t="s">
        <v>266</v>
      </c>
      <c r="E1601" s="3">
        <v>46223</v>
      </c>
      <c r="F1601" s="5">
        <v>424080</v>
      </c>
      <c r="G1601" s="5">
        <v>337440</v>
      </c>
      <c r="H1601" s="61">
        <v>329080</v>
      </c>
      <c r="I1601" s="6">
        <f t="shared" si="25"/>
        <v>-95000</v>
      </c>
      <c r="J1601" s="9">
        <v>46256</v>
      </c>
      <c r="K1601" s="31" t="s">
        <v>2</v>
      </c>
      <c r="L1601" s="31" t="s">
        <v>109</v>
      </c>
      <c r="M1601" s="44" t="s">
        <v>909</v>
      </c>
      <c r="N1601" s="4"/>
    </row>
    <row r="1602" spans="1:14">
      <c r="A1602" s="4" t="s">
        <v>1200</v>
      </c>
      <c r="B1602" s="4" t="s">
        <v>1201</v>
      </c>
      <c r="C1602" s="4" t="s">
        <v>16</v>
      </c>
      <c r="D1602" s="4" t="s">
        <v>357</v>
      </c>
      <c r="E1602" s="3">
        <v>46223</v>
      </c>
      <c r="F1602" s="5">
        <v>128060</v>
      </c>
      <c r="G1602" s="5">
        <v>128060</v>
      </c>
      <c r="H1602" s="61">
        <v>101460</v>
      </c>
      <c r="I1602" s="6">
        <f t="shared" si="25"/>
        <v>-26600</v>
      </c>
      <c r="J1602" s="9">
        <v>46256</v>
      </c>
      <c r="K1602" s="31" t="s">
        <v>2</v>
      </c>
      <c r="L1602" s="31" t="s">
        <v>109</v>
      </c>
      <c r="M1602" s="44" t="s">
        <v>909</v>
      </c>
      <c r="N1602" s="4"/>
    </row>
    <row r="1603" spans="1:14">
      <c r="A1603" s="4" t="s">
        <v>1200</v>
      </c>
      <c r="B1603" s="4" t="s">
        <v>1201</v>
      </c>
      <c r="C1603" s="4" t="s">
        <v>16</v>
      </c>
      <c r="D1603" s="4" t="s">
        <v>640</v>
      </c>
      <c r="E1603" s="3">
        <v>46232</v>
      </c>
      <c r="F1603" s="5">
        <v>319960</v>
      </c>
      <c r="G1603" s="5">
        <v>283860</v>
      </c>
      <c r="H1603" s="61">
        <v>184300</v>
      </c>
      <c r="I1603" s="6">
        <f t="shared" si="25"/>
        <v>-135660</v>
      </c>
      <c r="J1603" s="9">
        <v>46256</v>
      </c>
      <c r="K1603" s="31" t="s">
        <v>2</v>
      </c>
      <c r="L1603" s="31" t="s">
        <v>109</v>
      </c>
      <c r="M1603" s="44" t="s">
        <v>909</v>
      </c>
      <c r="N1603" s="4"/>
    </row>
    <row r="1604" spans="1:14">
      <c r="A1604" s="4" t="s">
        <v>1200</v>
      </c>
      <c r="B1604" s="4" t="s">
        <v>1201</v>
      </c>
      <c r="C1604" s="4" t="s">
        <v>16</v>
      </c>
      <c r="D1604" s="4" t="s">
        <v>166</v>
      </c>
      <c r="E1604" s="3">
        <v>46240</v>
      </c>
      <c r="F1604" s="5">
        <v>13300</v>
      </c>
      <c r="G1604" s="5">
        <v>13300</v>
      </c>
      <c r="H1604" s="61">
        <v>23180</v>
      </c>
      <c r="I1604" s="6">
        <f t="shared" si="25"/>
        <v>9880</v>
      </c>
      <c r="J1604" s="9">
        <v>46256</v>
      </c>
      <c r="K1604" s="31" t="s">
        <v>2</v>
      </c>
      <c r="L1604" s="31" t="s">
        <v>109</v>
      </c>
      <c r="M1604" s="44" t="s">
        <v>909</v>
      </c>
      <c r="N1604" s="4"/>
    </row>
    <row r="1605" spans="1:14">
      <c r="A1605" s="4" t="s">
        <v>1202</v>
      </c>
      <c r="B1605" s="4" t="s">
        <v>1203</v>
      </c>
      <c r="C1605" s="4" t="s">
        <v>16</v>
      </c>
      <c r="D1605" s="4" t="s">
        <v>275</v>
      </c>
      <c r="E1605" s="3">
        <v>46139</v>
      </c>
      <c r="F1605" s="5">
        <v>25840</v>
      </c>
      <c r="G1605" s="5">
        <v>25840</v>
      </c>
      <c r="H1605" s="61">
        <v>25840</v>
      </c>
      <c r="I1605" s="6">
        <f t="shared" si="25"/>
        <v>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>
      <c r="A1606" s="4" t="s">
        <v>1202</v>
      </c>
      <c r="B1606" s="4" t="s">
        <v>1203</v>
      </c>
      <c r="C1606" s="4" t="s">
        <v>23</v>
      </c>
      <c r="D1606" s="4" t="s">
        <v>275</v>
      </c>
      <c r="E1606" s="3">
        <v>46139</v>
      </c>
      <c r="F1606" s="5">
        <v>2280</v>
      </c>
      <c r="G1606" s="5">
        <v>5700</v>
      </c>
      <c r="H1606" s="61">
        <v>0</v>
      </c>
      <c r="I1606" s="6">
        <f t="shared" si="25"/>
        <v>-2280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>
      <c r="A1607" s="4" t="s">
        <v>1202</v>
      </c>
      <c r="B1607" s="4" t="s">
        <v>1203</v>
      </c>
      <c r="C1607" s="4" t="s">
        <v>16</v>
      </c>
      <c r="D1607" s="4" t="s">
        <v>1102</v>
      </c>
      <c r="E1607" s="3">
        <v>46161</v>
      </c>
      <c r="F1607" s="5">
        <v>40057</v>
      </c>
      <c r="G1607" s="5">
        <v>32287</v>
      </c>
      <c r="H1607" s="61">
        <v>47120</v>
      </c>
      <c r="I1607" s="6">
        <f t="shared" si="25"/>
        <v>7063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>
      <c r="A1608" s="4" t="s">
        <v>1202</v>
      </c>
      <c r="B1608" s="4" t="s">
        <v>1203</v>
      </c>
      <c r="C1608" s="4" t="s">
        <v>23</v>
      </c>
      <c r="D1608" s="4" t="s">
        <v>1102</v>
      </c>
      <c r="E1608" s="3">
        <v>46161</v>
      </c>
      <c r="F1608" s="5">
        <v>18240</v>
      </c>
      <c r="G1608" s="5">
        <v>27583</v>
      </c>
      <c r="H1608" s="61">
        <v>0</v>
      </c>
      <c r="I1608" s="6">
        <f t="shared" si="25"/>
        <v>-18240</v>
      </c>
      <c r="J1608" s="9">
        <v>46256</v>
      </c>
      <c r="K1608" s="31" t="s">
        <v>2</v>
      </c>
      <c r="L1608" s="31" t="s">
        <v>109</v>
      </c>
      <c r="M1608" s="44" t="s">
        <v>20</v>
      </c>
      <c r="N1608" s="3">
        <v>46258</v>
      </c>
    </row>
    <row r="1609" spans="1:14">
      <c r="A1609" s="4" t="s">
        <v>1204</v>
      </c>
      <c r="B1609" s="4" t="s">
        <v>1205</v>
      </c>
      <c r="C1609" s="4" t="s">
        <v>23</v>
      </c>
      <c r="D1609" s="4" t="s">
        <v>111</v>
      </c>
      <c r="E1609" s="3">
        <v>46137</v>
      </c>
      <c r="F1609" s="5">
        <v>1520</v>
      </c>
      <c r="G1609" s="5">
        <v>1520</v>
      </c>
      <c r="H1609" s="61">
        <v>0</v>
      </c>
      <c r="I1609" s="6">
        <f t="shared" si="25"/>
        <v>-1520</v>
      </c>
      <c r="J1609" s="9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>
      <c r="A1610" s="4" t="s">
        <v>1204</v>
      </c>
      <c r="B1610" s="4" t="s">
        <v>1205</v>
      </c>
      <c r="C1610" s="4" t="s">
        <v>16</v>
      </c>
      <c r="D1610" s="4" t="s">
        <v>111</v>
      </c>
      <c r="E1610" s="3">
        <v>46137</v>
      </c>
      <c r="F1610" s="5">
        <v>0</v>
      </c>
      <c r="G1610" s="5">
        <v>1140</v>
      </c>
      <c r="H1610" s="61">
        <v>0</v>
      </c>
      <c r="I1610" s="6">
        <f t="shared" si="25"/>
        <v>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>
      <c r="A1611" s="4" t="s">
        <v>1206</v>
      </c>
      <c r="B1611" s="4" t="s">
        <v>1207</v>
      </c>
      <c r="C1611" s="4" t="s">
        <v>16</v>
      </c>
      <c r="D1611" s="4" t="s">
        <v>275</v>
      </c>
      <c r="E1611" s="3">
        <v>46139</v>
      </c>
      <c r="F1611" s="5">
        <v>54340</v>
      </c>
      <c r="G1611" s="5">
        <v>54340</v>
      </c>
      <c r="H1611" s="61">
        <v>56620</v>
      </c>
      <c r="I1611" s="6">
        <f t="shared" si="25"/>
        <v>2280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>
      <c r="A1612" s="4" t="s">
        <v>1206</v>
      </c>
      <c r="B1612" s="4" t="s">
        <v>1207</v>
      </c>
      <c r="C1612" s="4" t="s">
        <v>23</v>
      </c>
      <c r="D1612" s="4" t="s">
        <v>1102</v>
      </c>
      <c r="E1612" s="3">
        <v>46161</v>
      </c>
      <c r="F1612" s="5">
        <v>4560</v>
      </c>
      <c r="G1612" s="5">
        <v>3040</v>
      </c>
      <c r="H1612" s="61">
        <v>28800</v>
      </c>
      <c r="I1612" s="6">
        <f t="shared" si="25"/>
        <v>24240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>
      <c r="A1613" s="4" t="s">
        <v>1206</v>
      </c>
      <c r="B1613" s="4" t="s">
        <v>1207</v>
      </c>
      <c r="C1613" s="4" t="s">
        <v>23</v>
      </c>
      <c r="D1613" s="4" t="s">
        <v>534</v>
      </c>
      <c r="E1613" s="3">
        <v>46161</v>
      </c>
      <c r="F1613" s="5">
        <v>4560</v>
      </c>
      <c r="G1613" s="5">
        <v>4560</v>
      </c>
      <c r="H1613" s="61">
        <v>5320</v>
      </c>
      <c r="I1613" s="6">
        <f t="shared" si="25"/>
        <v>760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>
      <c r="A1614" s="4" t="s">
        <v>1206</v>
      </c>
      <c r="B1614" s="4" t="s">
        <v>1207</v>
      </c>
      <c r="C1614" s="4" t="s">
        <v>89</v>
      </c>
      <c r="D1614" s="4" t="s">
        <v>1102</v>
      </c>
      <c r="E1614" s="3">
        <v>46161</v>
      </c>
      <c r="F1614" s="5">
        <v>7600</v>
      </c>
      <c r="G1614" s="5">
        <v>7600</v>
      </c>
      <c r="H1614" s="61">
        <v>0</v>
      </c>
      <c r="I1614" s="6">
        <f t="shared" si="25"/>
        <v>-7600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>
      <c r="A1615" s="4" t="s">
        <v>1206</v>
      </c>
      <c r="B1615" s="4" t="s">
        <v>1207</v>
      </c>
      <c r="C1615" s="4" t="s">
        <v>16</v>
      </c>
      <c r="D1615" s="4" t="s">
        <v>534</v>
      </c>
      <c r="E1615" s="3">
        <v>46161</v>
      </c>
      <c r="F1615" s="5">
        <v>760</v>
      </c>
      <c r="G1615" s="5">
        <v>760</v>
      </c>
      <c r="H1615" s="61">
        <v>0</v>
      </c>
      <c r="I1615" s="6">
        <f t="shared" si="25"/>
        <v>-760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>
      <c r="A1616" s="4" t="s">
        <v>1206</v>
      </c>
      <c r="B1616" s="4" t="s">
        <v>1207</v>
      </c>
      <c r="C1616" s="4" t="s">
        <v>16</v>
      </c>
      <c r="D1616" s="4" t="s">
        <v>1102</v>
      </c>
      <c r="E1616" s="3">
        <v>46161</v>
      </c>
      <c r="F1616" s="5">
        <v>18240</v>
      </c>
      <c r="G1616" s="5">
        <v>18240</v>
      </c>
      <c r="H1616" s="61">
        <v>0</v>
      </c>
      <c r="I1616" s="6">
        <f t="shared" si="25"/>
        <v>-18240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>
      <c r="A1617" s="4" t="s">
        <v>1208</v>
      </c>
      <c r="B1617" s="4" t="s">
        <v>1209</v>
      </c>
      <c r="C1617" s="4" t="s">
        <v>23</v>
      </c>
      <c r="D1617" s="4" t="s">
        <v>111</v>
      </c>
      <c r="E1617" s="3">
        <v>46136</v>
      </c>
      <c r="F1617" s="5">
        <v>4560</v>
      </c>
      <c r="G1617" s="5">
        <v>4560</v>
      </c>
      <c r="H1617" s="61">
        <v>5700</v>
      </c>
      <c r="I1617" s="6">
        <f t="shared" si="25"/>
        <v>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>
      <c r="A1618" s="4" t="s">
        <v>1208</v>
      </c>
      <c r="B1618" s="4" t="s">
        <v>1209</v>
      </c>
      <c r="C1618" s="4" t="s">
        <v>16</v>
      </c>
      <c r="D1618" s="4" t="s">
        <v>111</v>
      </c>
      <c r="E1618" s="3">
        <v>46136</v>
      </c>
      <c r="F1618" s="5">
        <v>1140</v>
      </c>
      <c r="G1618" s="5">
        <v>1140</v>
      </c>
      <c r="H1618" s="61">
        <v>0</v>
      </c>
      <c r="I1618" s="6">
        <f t="shared" si="25"/>
        <v>-1140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>
      <c r="A1619" s="4" t="s">
        <v>1208</v>
      </c>
      <c r="B1619" s="4" t="s">
        <v>1209</v>
      </c>
      <c r="C1619" s="4" t="s">
        <v>23</v>
      </c>
      <c r="D1619" s="4" t="s">
        <v>534</v>
      </c>
      <c r="E1619" s="3">
        <v>46161</v>
      </c>
      <c r="F1619" s="5">
        <v>1140</v>
      </c>
      <c r="G1619" s="5">
        <v>1140</v>
      </c>
      <c r="H1619" s="61">
        <v>1520</v>
      </c>
      <c r="I1619" s="6">
        <f t="shared" si="25"/>
        <v>380</v>
      </c>
      <c r="J1619" s="16">
        <v>46244</v>
      </c>
      <c r="K1619" s="11" t="s">
        <v>327</v>
      </c>
      <c r="L1619" s="19" t="s">
        <v>109</v>
      </c>
      <c r="M1619" s="44" t="s">
        <v>20</v>
      </c>
      <c r="N1619" s="3">
        <v>46245</v>
      </c>
    </row>
    <row r="1620" spans="1:14">
      <c r="A1620" s="4" t="s">
        <v>1210</v>
      </c>
      <c r="B1620" s="4" t="s">
        <v>1211</v>
      </c>
      <c r="C1620" s="4" t="s">
        <v>23</v>
      </c>
      <c r="D1620" s="4" t="s">
        <v>1102</v>
      </c>
      <c r="E1620" s="3">
        <v>46160</v>
      </c>
      <c r="F1620" s="5">
        <v>0</v>
      </c>
      <c r="G1620" s="5">
        <v>21681.9</v>
      </c>
      <c r="H1620" s="61">
        <v>0</v>
      </c>
      <c r="I1620" s="6">
        <f t="shared" si="25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>
      <c r="A1621" s="4" t="s">
        <v>1210</v>
      </c>
      <c r="B1621" s="4" t="s">
        <v>1211</v>
      </c>
      <c r="C1621" s="4" t="s">
        <v>16</v>
      </c>
      <c r="D1621" s="4" t="s">
        <v>1102</v>
      </c>
      <c r="E1621" s="3">
        <v>46160</v>
      </c>
      <c r="F1621" s="5">
        <v>0</v>
      </c>
      <c r="G1621" s="5">
        <v>28398.1</v>
      </c>
      <c r="H1621" s="61">
        <v>0</v>
      </c>
      <c r="I1621" s="6">
        <f t="shared" si="25"/>
        <v>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>
      <c r="A1622" s="4" t="s">
        <v>1210</v>
      </c>
      <c r="B1622" s="4" t="s">
        <v>1211</v>
      </c>
      <c r="C1622" s="4" t="s">
        <v>89</v>
      </c>
      <c r="D1622" s="4" t="s">
        <v>496</v>
      </c>
      <c r="E1622" s="3">
        <v>46162</v>
      </c>
      <c r="F1622" s="5">
        <v>43700</v>
      </c>
      <c r="G1622" s="5">
        <v>43700</v>
      </c>
      <c r="H1622" s="61">
        <v>0</v>
      </c>
      <c r="I1622" s="6">
        <f t="shared" si="25"/>
        <v>-43700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>
      <c r="A1623" s="4" t="s">
        <v>1210</v>
      </c>
      <c r="B1623" s="4" t="s">
        <v>1211</v>
      </c>
      <c r="C1623" s="4" t="s">
        <v>16</v>
      </c>
      <c r="D1623" s="4" t="s">
        <v>496</v>
      </c>
      <c r="E1623" s="3">
        <v>46162</v>
      </c>
      <c r="F1623" s="5">
        <v>40600</v>
      </c>
      <c r="G1623" s="5">
        <v>93480</v>
      </c>
      <c r="H1623" s="61">
        <v>65740</v>
      </c>
      <c r="I1623" s="6">
        <f t="shared" si="25"/>
        <v>25140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>
      <c r="A1624" s="4" t="s">
        <v>1210</v>
      </c>
      <c r="B1624" s="4" t="s">
        <v>1211</v>
      </c>
      <c r="C1624" s="4" t="s">
        <v>16</v>
      </c>
      <c r="D1624" s="4" t="s">
        <v>534</v>
      </c>
      <c r="E1624" s="3">
        <v>46162</v>
      </c>
      <c r="F1624" s="5">
        <v>108300</v>
      </c>
      <c r="G1624" s="5">
        <v>168340</v>
      </c>
      <c r="H1624" s="61">
        <v>129200</v>
      </c>
      <c r="I1624" s="6">
        <f t="shared" si="25"/>
        <v>20900</v>
      </c>
      <c r="J1624" s="9">
        <v>46256</v>
      </c>
      <c r="K1624" s="31" t="s">
        <v>2</v>
      </c>
      <c r="L1624" s="31" t="s">
        <v>109</v>
      </c>
      <c r="M1624" s="44" t="s">
        <v>20</v>
      </c>
      <c r="N1624" s="3">
        <v>46258</v>
      </c>
    </row>
    <row r="1625" spans="1:14">
      <c r="A1625" s="4" t="s">
        <v>1212</v>
      </c>
      <c r="B1625" s="4" t="s">
        <v>1213</v>
      </c>
      <c r="C1625" s="4" t="s">
        <v>89</v>
      </c>
      <c r="D1625" s="4" t="s">
        <v>92</v>
      </c>
      <c r="E1625" s="3">
        <v>46153</v>
      </c>
      <c r="F1625" s="5">
        <v>5700</v>
      </c>
      <c r="G1625" s="5">
        <v>5700</v>
      </c>
      <c r="H1625" s="61"/>
      <c r="I1625" s="6" t="str">
        <f t="shared" si="25"/>
        <v/>
      </c>
      <c r="J1625" s="9"/>
      <c r="K1625" s="11"/>
      <c r="L1625" s="11"/>
      <c r="M1625" s="44" t="s">
        <v>909</v>
      </c>
      <c r="N1625" s="4"/>
    </row>
    <row r="1626" spans="1:14">
      <c r="A1626" s="4" t="s">
        <v>1212</v>
      </c>
      <c r="B1626" s="4" t="s">
        <v>1213</v>
      </c>
      <c r="C1626" s="4" t="s">
        <v>23</v>
      </c>
      <c r="D1626" s="4" t="s">
        <v>496</v>
      </c>
      <c r="E1626" s="3">
        <v>46177</v>
      </c>
      <c r="F1626" s="5">
        <v>182424.04</v>
      </c>
      <c r="G1626" s="5">
        <v>182424.04</v>
      </c>
      <c r="H1626" s="61"/>
      <c r="I1626" s="6" t="str">
        <f t="shared" si="25"/>
        <v/>
      </c>
      <c r="J1626" s="9"/>
      <c r="K1626" s="11"/>
      <c r="L1626" s="11"/>
      <c r="M1626" s="44" t="s">
        <v>909</v>
      </c>
      <c r="N1626" s="4"/>
    </row>
    <row r="1627" spans="1:14">
      <c r="A1627" s="4" t="s">
        <v>1212</v>
      </c>
      <c r="B1627" s="4" t="s">
        <v>1213</v>
      </c>
      <c r="C1627" s="4" t="s">
        <v>25</v>
      </c>
      <c r="D1627" s="4" t="s">
        <v>496</v>
      </c>
      <c r="E1627" s="3">
        <v>46177</v>
      </c>
      <c r="F1627" s="5">
        <v>2280</v>
      </c>
      <c r="G1627" s="5">
        <v>2280</v>
      </c>
      <c r="H1627" s="61"/>
      <c r="I1627" s="6" t="str">
        <f t="shared" ref="I1627:I1690" si="27">IF(H1627="","",H1627-F1627)</f>
        <v/>
      </c>
      <c r="J1627" s="9"/>
      <c r="K1627" s="11"/>
      <c r="L1627" s="11"/>
      <c r="M1627" s="44" t="s">
        <v>909</v>
      </c>
      <c r="N1627" s="4"/>
    </row>
    <row r="1628" spans="1:14">
      <c r="A1628" s="4" t="s">
        <v>1212</v>
      </c>
      <c r="B1628" s="4" t="s">
        <v>1213</v>
      </c>
      <c r="C1628" s="4" t="s">
        <v>23</v>
      </c>
      <c r="D1628" s="4" t="s">
        <v>450</v>
      </c>
      <c r="E1628" s="3">
        <v>46184</v>
      </c>
      <c r="F1628" s="5">
        <v>111294.72</v>
      </c>
      <c r="G1628" s="5">
        <v>111294.72</v>
      </c>
      <c r="H1628" s="61"/>
      <c r="I1628" s="6" t="str">
        <f t="shared" si="27"/>
        <v/>
      </c>
      <c r="J1628" s="9"/>
      <c r="K1628" s="11"/>
      <c r="L1628" s="11"/>
      <c r="M1628" s="44" t="s">
        <v>909</v>
      </c>
      <c r="N1628" s="4"/>
    </row>
    <row r="1629" spans="1:14">
      <c r="A1629" s="4" t="s">
        <v>1212</v>
      </c>
      <c r="B1629" s="4" t="s">
        <v>1213</v>
      </c>
      <c r="C1629" s="4" t="s">
        <v>23</v>
      </c>
      <c r="D1629" s="4" t="s">
        <v>100</v>
      </c>
      <c r="E1629" s="3">
        <v>46187</v>
      </c>
      <c r="F1629" s="5">
        <v>7476.68</v>
      </c>
      <c r="G1629" s="5">
        <v>7476.68</v>
      </c>
      <c r="H1629" s="61"/>
      <c r="I1629" s="6" t="str">
        <f t="shared" si="27"/>
        <v/>
      </c>
      <c r="J1629" s="9"/>
      <c r="K1629" s="11"/>
      <c r="L1629" s="11"/>
      <c r="M1629" s="44" t="s">
        <v>909</v>
      </c>
      <c r="N1629" s="4"/>
    </row>
    <row r="1630" spans="1:14">
      <c r="A1630" s="4" t="s">
        <v>1212</v>
      </c>
      <c r="B1630" s="4" t="s">
        <v>1213</v>
      </c>
      <c r="C1630" s="4" t="s">
        <v>16</v>
      </c>
      <c r="D1630" s="4" t="s">
        <v>100</v>
      </c>
      <c r="E1630" s="3">
        <v>46187</v>
      </c>
      <c r="F1630" s="5">
        <v>10640</v>
      </c>
      <c r="G1630" s="5">
        <v>10640</v>
      </c>
      <c r="H1630" s="61"/>
      <c r="I1630" s="6" t="str">
        <f t="shared" si="27"/>
        <v/>
      </c>
      <c r="J1630" s="9"/>
      <c r="K1630" s="11"/>
      <c r="L1630" s="11"/>
      <c r="M1630" s="44" t="s">
        <v>909</v>
      </c>
      <c r="N1630" s="4"/>
    </row>
    <row r="1631" spans="1:14">
      <c r="A1631" s="4" t="s">
        <v>1212</v>
      </c>
      <c r="B1631" s="4" t="s">
        <v>1213</v>
      </c>
      <c r="C1631" s="4" t="s">
        <v>16</v>
      </c>
      <c r="D1631" s="4" t="s">
        <v>203</v>
      </c>
      <c r="E1631" s="3">
        <v>46188</v>
      </c>
      <c r="F1631" s="5">
        <v>19000</v>
      </c>
      <c r="G1631" s="5">
        <v>19000</v>
      </c>
      <c r="H1631" s="61"/>
      <c r="I1631" s="6" t="str">
        <f t="shared" si="27"/>
        <v/>
      </c>
      <c r="J1631" s="9"/>
      <c r="K1631" s="11"/>
      <c r="L1631" s="11"/>
      <c r="M1631" s="44" t="s">
        <v>909</v>
      </c>
      <c r="N1631" s="4"/>
    </row>
    <row r="1632" spans="1:14">
      <c r="A1632" s="4" t="s">
        <v>1212</v>
      </c>
      <c r="B1632" s="4" t="s">
        <v>1213</v>
      </c>
      <c r="C1632" s="4" t="s">
        <v>23</v>
      </c>
      <c r="D1632" s="4" t="s">
        <v>203</v>
      </c>
      <c r="E1632" s="3">
        <v>46188</v>
      </c>
      <c r="F1632" s="5">
        <v>54216.68</v>
      </c>
      <c r="G1632" s="5">
        <v>54216.68</v>
      </c>
      <c r="H1632" s="61"/>
      <c r="I1632" s="6" t="str">
        <f t="shared" si="27"/>
        <v/>
      </c>
      <c r="J1632" s="9"/>
      <c r="K1632" s="11"/>
      <c r="L1632" s="11"/>
      <c r="M1632" s="44" t="s">
        <v>909</v>
      </c>
      <c r="N1632" s="4"/>
    </row>
    <row r="1633" spans="1:14">
      <c r="A1633" s="4" t="s">
        <v>1212</v>
      </c>
      <c r="B1633" s="4" t="s">
        <v>1213</v>
      </c>
      <c r="C1633" s="4" t="s">
        <v>16</v>
      </c>
      <c r="D1633" s="4" t="s">
        <v>171</v>
      </c>
      <c r="E1633" s="3">
        <v>46210</v>
      </c>
      <c r="F1633" s="5">
        <v>3800</v>
      </c>
      <c r="G1633" s="5">
        <v>3800</v>
      </c>
      <c r="H1633" s="61"/>
      <c r="I1633" s="6" t="str">
        <f t="shared" si="27"/>
        <v/>
      </c>
      <c r="J1633" s="9"/>
      <c r="K1633" s="11"/>
      <c r="L1633" s="11"/>
      <c r="M1633" s="44" t="s">
        <v>909</v>
      </c>
      <c r="N1633" s="4"/>
    </row>
    <row r="1634" spans="1:14">
      <c r="A1634" s="4" t="s">
        <v>1212</v>
      </c>
      <c r="B1634" s="4" t="s">
        <v>1213</v>
      </c>
      <c r="C1634" s="4" t="s">
        <v>16</v>
      </c>
      <c r="D1634" s="4" t="s">
        <v>105</v>
      </c>
      <c r="E1634" s="3">
        <v>46228</v>
      </c>
      <c r="F1634" s="5">
        <v>230660</v>
      </c>
      <c r="G1634" s="5">
        <v>230660</v>
      </c>
      <c r="H1634" s="61"/>
      <c r="I1634" s="6" t="str">
        <f t="shared" si="27"/>
        <v/>
      </c>
      <c r="J1634" s="9"/>
      <c r="K1634" s="11"/>
      <c r="L1634" s="11"/>
      <c r="M1634" s="44" t="s">
        <v>909</v>
      </c>
      <c r="N1634" s="4"/>
    </row>
    <row r="1635" spans="1:14">
      <c r="A1635" s="4" t="s">
        <v>1212</v>
      </c>
      <c r="B1635" s="4" t="s">
        <v>1213</v>
      </c>
      <c r="C1635" s="4" t="s">
        <v>16</v>
      </c>
      <c r="D1635" s="4" t="s">
        <v>39</v>
      </c>
      <c r="E1635" s="3">
        <v>46232</v>
      </c>
      <c r="F1635" s="5">
        <v>212040</v>
      </c>
      <c r="G1635" s="5">
        <v>212040</v>
      </c>
      <c r="H1635" s="61"/>
      <c r="I1635" s="6" t="str">
        <f t="shared" si="27"/>
        <v/>
      </c>
      <c r="J1635" s="9"/>
      <c r="K1635" s="11"/>
      <c r="L1635" s="11"/>
      <c r="M1635" s="44" t="s">
        <v>909</v>
      </c>
      <c r="N1635" s="4"/>
    </row>
    <row r="1636" spans="1:14">
      <c r="A1636" s="4" t="s">
        <v>1212</v>
      </c>
      <c r="B1636" s="4" t="s">
        <v>1213</v>
      </c>
      <c r="C1636" s="4" t="s">
        <v>16</v>
      </c>
      <c r="D1636" s="4" t="s">
        <v>38</v>
      </c>
      <c r="E1636" s="3">
        <v>46232</v>
      </c>
      <c r="F1636" s="5">
        <v>474620</v>
      </c>
      <c r="G1636" s="5">
        <v>474620</v>
      </c>
      <c r="H1636" s="61"/>
      <c r="I1636" s="6" t="str">
        <f t="shared" si="27"/>
        <v/>
      </c>
      <c r="J1636" s="9"/>
      <c r="K1636" s="11"/>
      <c r="L1636" s="11"/>
      <c r="M1636" s="44" t="s">
        <v>909</v>
      </c>
      <c r="N1636" s="4"/>
    </row>
    <row r="1637" spans="1:14">
      <c r="A1637" s="4" t="s">
        <v>1212</v>
      </c>
      <c r="B1637" s="4" t="s">
        <v>1213</v>
      </c>
      <c r="C1637" s="4" t="s">
        <v>16</v>
      </c>
      <c r="D1637" s="4" t="s">
        <v>302</v>
      </c>
      <c r="E1637" s="3">
        <v>46234</v>
      </c>
      <c r="F1637" s="5">
        <v>362520</v>
      </c>
      <c r="G1637" s="5">
        <v>362520</v>
      </c>
      <c r="H1637" s="61"/>
      <c r="I1637" s="6" t="str">
        <f t="shared" si="27"/>
        <v/>
      </c>
      <c r="J1637" s="9"/>
      <c r="K1637" s="11"/>
      <c r="L1637" s="11"/>
      <c r="M1637" s="44" t="s">
        <v>909</v>
      </c>
      <c r="N1637" s="4"/>
    </row>
    <row r="1638" spans="1:14">
      <c r="A1638" s="4" t="s">
        <v>1212</v>
      </c>
      <c r="B1638" s="4" t="s">
        <v>1213</v>
      </c>
      <c r="C1638" s="4" t="s">
        <v>16</v>
      </c>
      <c r="D1638" s="4" t="s">
        <v>364</v>
      </c>
      <c r="E1638" s="3">
        <v>46244</v>
      </c>
      <c r="F1638" s="5">
        <v>342000</v>
      </c>
      <c r="G1638" s="5">
        <v>342000</v>
      </c>
      <c r="H1638" s="61"/>
      <c r="I1638" s="6" t="str">
        <f t="shared" si="27"/>
        <v/>
      </c>
      <c r="J1638" s="9"/>
      <c r="K1638" s="11"/>
      <c r="L1638" s="11"/>
      <c r="M1638" s="44" t="s">
        <v>909</v>
      </c>
      <c r="N1638" s="4"/>
    </row>
    <row r="1639" spans="1:14">
      <c r="A1639" s="4" t="s">
        <v>1214</v>
      </c>
      <c r="B1639" s="4" t="s">
        <v>1215</v>
      </c>
      <c r="C1639" s="4" t="s">
        <v>23</v>
      </c>
      <c r="D1639" s="4" t="s">
        <v>17</v>
      </c>
      <c r="E1639" s="3">
        <v>46162</v>
      </c>
      <c r="F1639" s="5">
        <v>15200</v>
      </c>
      <c r="G1639" s="5">
        <v>17100</v>
      </c>
      <c r="H1639" s="61"/>
      <c r="I1639" s="6" t="str">
        <f t="shared" si="27"/>
        <v/>
      </c>
      <c r="J1639" s="9"/>
      <c r="K1639" s="11"/>
      <c r="L1639" s="11"/>
      <c r="M1639" s="44" t="s">
        <v>909</v>
      </c>
      <c r="N1639" s="4"/>
    </row>
    <row r="1640" spans="1:14">
      <c r="A1640" s="4" t="s">
        <v>1214</v>
      </c>
      <c r="B1640" s="4" t="s">
        <v>1215</v>
      </c>
      <c r="C1640" s="4" t="s">
        <v>23</v>
      </c>
      <c r="D1640" s="4" t="s">
        <v>45</v>
      </c>
      <c r="E1640" s="3">
        <v>46162</v>
      </c>
      <c r="F1640" s="5">
        <v>43731.9</v>
      </c>
      <c r="G1640" s="5">
        <v>43731.9</v>
      </c>
      <c r="H1640" s="61"/>
      <c r="I1640" s="6" t="str">
        <f t="shared" si="27"/>
        <v/>
      </c>
      <c r="J1640" s="9"/>
      <c r="K1640" s="11"/>
      <c r="L1640" s="11"/>
      <c r="M1640" s="44" t="s">
        <v>909</v>
      </c>
      <c r="N1640" s="4"/>
    </row>
    <row r="1641" spans="1:14">
      <c r="A1641" s="4" t="s">
        <v>1214</v>
      </c>
      <c r="B1641" s="4" t="s">
        <v>1215</v>
      </c>
      <c r="C1641" s="4" t="s">
        <v>23</v>
      </c>
      <c r="D1641" s="4" t="s">
        <v>496</v>
      </c>
      <c r="E1641" s="3">
        <v>46165</v>
      </c>
      <c r="F1641" s="5">
        <v>75361</v>
      </c>
      <c r="G1641" s="5">
        <v>75361</v>
      </c>
      <c r="H1641" s="61"/>
      <c r="I1641" s="6" t="str">
        <f t="shared" si="27"/>
        <v/>
      </c>
      <c r="J1641" s="9"/>
      <c r="K1641" s="11"/>
      <c r="L1641" s="11"/>
      <c r="M1641" s="44" t="s">
        <v>909</v>
      </c>
      <c r="N1641" s="4"/>
    </row>
    <row r="1642" spans="1:14">
      <c r="A1642" s="4" t="s">
        <v>1214</v>
      </c>
      <c r="B1642" s="4" t="s">
        <v>1215</v>
      </c>
      <c r="C1642" s="4" t="s">
        <v>23</v>
      </c>
      <c r="D1642" s="4" t="s">
        <v>93</v>
      </c>
      <c r="E1642" s="3">
        <v>46179</v>
      </c>
      <c r="F1642" s="5">
        <v>5698.1</v>
      </c>
      <c r="G1642" s="5">
        <v>5698.1</v>
      </c>
      <c r="H1642" s="61"/>
      <c r="I1642" s="6" t="str">
        <f t="shared" si="27"/>
        <v/>
      </c>
      <c r="J1642" s="9"/>
      <c r="K1642" s="11"/>
      <c r="L1642" s="11"/>
      <c r="M1642" s="44" t="s">
        <v>909</v>
      </c>
      <c r="N1642" s="4"/>
    </row>
    <row r="1643" spans="1:14">
      <c r="A1643" s="4" t="s">
        <v>1214</v>
      </c>
      <c r="B1643" s="4" t="s">
        <v>1215</v>
      </c>
      <c r="C1643" s="4" t="s">
        <v>23</v>
      </c>
      <c r="D1643" s="4" t="s">
        <v>438</v>
      </c>
      <c r="E1643" s="3">
        <v>46182</v>
      </c>
      <c r="F1643" s="5">
        <v>99180</v>
      </c>
      <c r="G1643" s="5">
        <v>99180</v>
      </c>
      <c r="H1643" s="61"/>
      <c r="I1643" s="6" t="str">
        <f t="shared" si="27"/>
        <v/>
      </c>
      <c r="J1643" s="9"/>
      <c r="K1643" s="11"/>
      <c r="L1643" s="11"/>
      <c r="M1643" s="44" t="s">
        <v>909</v>
      </c>
      <c r="N1643" s="4"/>
    </row>
    <row r="1644" spans="1:14">
      <c r="A1644" s="4" t="s">
        <v>1214</v>
      </c>
      <c r="B1644" s="4" t="s">
        <v>1215</v>
      </c>
      <c r="C1644" s="4" t="s">
        <v>23</v>
      </c>
      <c r="D1644" s="4" t="s">
        <v>94</v>
      </c>
      <c r="E1644" s="3">
        <v>46187</v>
      </c>
      <c r="F1644" s="5">
        <v>1900</v>
      </c>
      <c r="G1644" s="5">
        <v>1900</v>
      </c>
      <c r="H1644" s="61"/>
      <c r="I1644" s="6" t="str">
        <f t="shared" si="27"/>
        <v/>
      </c>
      <c r="J1644" s="9"/>
      <c r="K1644" s="11"/>
      <c r="L1644" s="11"/>
      <c r="M1644" s="44" t="s">
        <v>909</v>
      </c>
      <c r="N1644" s="4"/>
    </row>
    <row r="1645" spans="1:14">
      <c r="A1645" s="4" t="s">
        <v>1214</v>
      </c>
      <c r="B1645" s="4" t="s">
        <v>1215</v>
      </c>
      <c r="C1645" s="4" t="s">
        <v>23</v>
      </c>
      <c r="D1645" s="4" t="s">
        <v>171</v>
      </c>
      <c r="E1645" s="3">
        <v>46192</v>
      </c>
      <c r="F1645" s="5">
        <v>36100</v>
      </c>
      <c r="G1645" s="5">
        <v>36100</v>
      </c>
      <c r="H1645" s="61"/>
      <c r="I1645" s="6" t="str">
        <f t="shared" si="27"/>
        <v/>
      </c>
      <c r="J1645" s="9"/>
      <c r="K1645" s="11"/>
      <c r="L1645" s="11"/>
      <c r="M1645" s="44" t="s">
        <v>909</v>
      </c>
      <c r="N1645" s="4"/>
    </row>
    <row r="1646" spans="1:14">
      <c r="A1646" s="4" t="s">
        <v>1214</v>
      </c>
      <c r="B1646" s="4" t="s">
        <v>1215</v>
      </c>
      <c r="C1646" s="4" t="s">
        <v>16</v>
      </c>
      <c r="D1646" s="4" t="s">
        <v>102</v>
      </c>
      <c r="E1646" s="3">
        <v>46192</v>
      </c>
      <c r="F1646" s="5">
        <v>37240</v>
      </c>
      <c r="G1646" s="5">
        <v>37240</v>
      </c>
      <c r="H1646" s="61"/>
      <c r="I1646" s="6" t="str">
        <f t="shared" si="27"/>
        <v/>
      </c>
      <c r="J1646" s="9"/>
      <c r="K1646" s="11"/>
      <c r="L1646" s="11"/>
      <c r="M1646" s="44" t="s">
        <v>909</v>
      </c>
      <c r="N1646" s="4"/>
    </row>
    <row r="1647" spans="1:14">
      <c r="A1647" s="4" t="s">
        <v>1214</v>
      </c>
      <c r="B1647" s="4" t="s">
        <v>1215</v>
      </c>
      <c r="C1647" s="4" t="s">
        <v>16</v>
      </c>
      <c r="D1647" s="4" t="s">
        <v>185</v>
      </c>
      <c r="E1647" s="3">
        <v>46193</v>
      </c>
      <c r="F1647" s="5">
        <v>380</v>
      </c>
      <c r="G1647" s="5">
        <v>380</v>
      </c>
      <c r="H1647" s="61"/>
      <c r="I1647" s="6" t="str">
        <f t="shared" si="27"/>
        <v/>
      </c>
      <c r="J1647" s="9"/>
      <c r="K1647" s="11"/>
      <c r="L1647" s="11"/>
      <c r="M1647" s="44" t="s">
        <v>909</v>
      </c>
      <c r="N1647" s="4"/>
    </row>
    <row r="1648" spans="1:14">
      <c r="A1648" s="4" t="s">
        <v>1214</v>
      </c>
      <c r="B1648" s="4" t="s">
        <v>1215</v>
      </c>
      <c r="C1648" s="4" t="s">
        <v>23</v>
      </c>
      <c r="D1648" s="4" t="s">
        <v>185</v>
      </c>
      <c r="E1648" s="3">
        <v>46193</v>
      </c>
      <c r="F1648" s="5">
        <v>4940</v>
      </c>
      <c r="G1648" s="5">
        <v>4940</v>
      </c>
      <c r="H1648" s="61"/>
      <c r="I1648" s="6" t="str">
        <f t="shared" si="27"/>
        <v/>
      </c>
      <c r="J1648" s="9"/>
      <c r="K1648" s="11"/>
      <c r="L1648" s="11"/>
      <c r="M1648" s="44" t="s">
        <v>909</v>
      </c>
      <c r="N1648" s="4"/>
    </row>
    <row r="1649" spans="1:14">
      <c r="A1649" s="4" t="s">
        <v>1214</v>
      </c>
      <c r="B1649" s="4" t="s">
        <v>1215</v>
      </c>
      <c r="C1649" s="4" t="s">
        <v>23</v>
      </c>
      <c r="D1649" s="4" t="s">
        <v>99</v>
      </c>
      <c r="E1649" s="3">
        <v>46194</v>
      </c>
      <c r="F1649" s="5">
        <v>11400</v>
      </c>
      <c r="G1649" s="5">
        <v>11400</v>
      </c>
      <c r="H1649" s="61"/>
      <c r="I1649" s="6" t="str">
        <f t="shared" si="27"/>
        <v/>
      </c>
      <c r="J1649" s="9"/>
      <c r="K1649" s="11"/>
      <c r="L1649" s="11"/>
      <c r="M1649" s="44" t="s">
        <v>909</v>
      </c>
      <c r="N1649" s="4"/>
    </row>
    <row r="1650" spans="1:14">
      <c r="A1650" s="4" t="s">
        <v>1214</v>
      </c>
      <c r="B1650" s="4" t="s">
        <v>1215</v>
      </c>
      <c r="C1650" s="4" t="s">
        <v>23</v>
      </c>
      <c r="D1650" s="4" t="s">
        <v>162</v>
      </c>
      <c r="E1650" s="3">
        <v>46201</v>
      </c>
      <c r="F1650" s="5">
        <v>40868.300000000003</v>
      </c>
      <c r="G1650" s="5">
        <v>40868.300000000003</v>
      </c>
      <c r="H1650" s="61"/>
      <c r="I1650" s="6" t="str">
        <f t="shared" si="27"/>
        <v/>
      </c>
      <c r="J1650" s="9"/>
      <c r="K1650" s="11"/>
      <c r="L1650" s="11"/>
      <c r="M1650" s="44" t="s">
        <v>909</v>
      </c>
      <c r="N1650" s="4"/>
    </row>
    <row r="1651" spans="1:14">
      <c r="A1651" s="4" t="s">
        <v>1214</v>
      </c>
      <c r="B1651" s="4" t="s">
        <v>1215</v>
      </c>
      <c r="C1651" s="4" t="s">
        <v>16</v>
      </c>
      <c r="D1651" s="4" t="s">
        <v>162</v>
      </c>
      <c r="E1651" s="3">
        <v>46201</v>
      </c>
      <c r="F1651" s="5">
        <v>60040</v>
      </c>
      <c r="G1651" s="5">
        <v>60040</v>
      </c>
      <c r="H1651" s="61"/>
      <c r="I1651" s="6" t="str">
        <f t="shared" si="27"/>
        <v/>
      </c>
      <c r="J1651" s="9"/>
      <c r="K1651" s="11"/>
      <c r="L1651" s="11"/>
      <c r="M1651" s="44" t="s">
        <v>909</v>
      </c>
      <c r="N1651" s="4"/>
    </row>
    <row r="1652" spans="1:14">
      <c r="A1652" s="4" t="s">
        <v>1214</v>
      </c>
      <c r="B1652" s="4" t="s">
        <v>1215</v>
      </c>
      <c r="C1652" s="4" t="s">
        <v>16</v>
      </c>
      <c r="D1652" s="4" t="s">
        <v>180</v>
      </c>
      <c r="E1652" s="3">
        <v>46202</v>
      </c>
      <c r="F1652" s="5">
        <v>58760</v>
      </c>
      <c r="G1652" s="5">
        <v>58760</v>
      </c>
      <c r="H1652" s="61"/>
      <c r="I1652" s="6" t="str">
        <f t="shared" si="27"/>
        <v/>
      </c>
      <c r="J1652" s="9"/>
      <c r="K1652" s="11"/>
      <c r="L1652" s="11"/>
      <c r="M1652" s="44" t="s">
        <v>909</v>
      </c>
      <c r="N1652" s="4"/>
    </row>
    <row r="1653" spans="1:14">
      <c r="A1653" s="4" t="s">
        <v>1214</v>
      </c>
      <c r="B1653" s="4" t="s">
        <v>1215</v>
      </c>
      <c r="C1653" s="4" t="s">
        <v>16</v>
      </c>
      <c r="D1653" s="4" t="s">
        <v>47</v>
      </c>
      <c r="E1653" s="3">
        <v>46202</v>
      </c>
      <c r="F1653" s="5">
        <v>22420</v>
      </c>
      <c r="G1653" s="5">
        <v>22420</v>
      </c>
      <c r="H1653" s="61"/>
      <c r="I1653" s="6" t="str">
        <f t="shared" si="27"/>
        <v/>
      </c>
      <c r="J1653" s="9"/>
      <c r="K1653" s="11"/>
      <c r="L1653" s="11"/>
      <c r="M1653" s="44" t="s">
        <v>909</v>
      </c>
      <c r="N1653" s="4"/>
    </row>
    <row r="1654" spans="1:14">
      <c r="A1654" s="4" t="s">
        <v>1214</v>
      </c>
      <c r="B1654" s="4" t="s">
        <v>1215</v>
      </c>
      <c r="C1654" s="4" t="s">
        <v>16</v>
      </c>
      <c r="D1654" s="4" t="s">
        <v>117</v>
      </c>
      <c r="E1654" s="3">
        <v>46209</v>
      </c>
      <c r="F1654" s="5">
        <v>1520</v>
      </c>
      <c r="G1654" s="5">
        <v>1520</v>
      </c>
      <c r="H1654" s="61"/>
      <c r="I1654" s="6" t="str">
        <f t="shared" si="27"/>
        <v/>
      </c>
      <c r="J1654" s="9"/>
      <c r="K1654" s="11"/>
      <c r="L1654" s="11"/>
      <c r="M1654" s="44" t="s">
        <v>909</v>
      </c>
      <c r="N1654" s="4"/>
    </row>
    <row r="1655" spans="1:14">
      <c r="A1655" s="4" t="s">
        <v>1214</v>
      </c>
      <c r="B1655" s="4" t="s">
        <v>1215</v>
      </c>
      <c r="C1655" s="4" t="s">
        <v>16</v>
      </c>
      <c r="D1655" s="4" t="s">
        <v>31</v>
      </c>
      <c r="E1655" s="3">
        <v>46217</v>
      </c>
      <c r="F1655" s="5">
        <v>28500</v>
      </c>
      <c r="G1655" s="5">
        <v>28500</v>
      </c>
      <c r="H1655" s="61"/>
      <c r="I1655" s="6" t="str">
        <f t="shared" si="27"/>
        <v/>
      </c>
      <c r="J1655" s="9"/>
      <c r="K1655" s="11"/>
      <c r="L1655" s="11"/>
      <c r="M1655" s="44" t="s">
        <v>909</v>
      </c>
      <c r="N1655" s="4"/>
    </row>
    <row r="1656" spans="1:14">
      <c r="A1656" s="4" t="s">
        <v>1214</v>
      </c>
      <c r="B1656" s="4" t="s">
        <v>1215</v>
      </c>
      <c r="C1656" s="4" t="s">
        <v>16</v>
      </c>
      <c r="D1656" s="4" t="s">
        <v>492</v>
      </c>
      <c r="E1656" s="3">
        <v>46217</v>
      </c>
      <c r="F1656" s="5">
        <v>7600</v>
      </c>
      <c r="G1656" s="5">
        <v>7600</v>
      </c>
      <c r="H1656" s="61"/>
      <c r="I1656" s="6" t="str">
        <f t="shared" si="27"/>
        <v/>
      </c>
      <c r="J1656" s="9"/>
      <c r="K1656" s="11"/>
      <c r="L1656" s="11"/>
      <c r="M1656" s="44" t="s">
        <v>909</v>
      </c>
      <c r="N1656" s="4"/>
    </row>
    <row r="1657" spans="1:14">
      <c r="A1657" s="4" t="s">
        <v>1214</v>
      </c>
      <c r="B1657" s="4" t="s">
        <v>1215</v>
      </c>
      <c r="C1657" s="4" t="s">
        <v>16</v>
      </c>
      <c r="D1657" s="4" t="s">
        <v>266</v>
      </c>
      <c r="E1657" s="3">
        <v>46222</v>
      </c>
      <c r="F1657" s="5">
        <v>110960</v>
      </c>
      <c r="G1657" s="5">
        <v>110960</v>
      </c>
      <c r="H1657" s="61"/>
      <c r="I1657" s="6" t="str">
        <f t="shared" si="27"/>
        <v/>
      </c>
      <c r="J1657" s="9"/>
      <c r="K1657" s="11"/>
      <c r="L1657" s="11"/>
      <c r="M1657" s="44" t="s">
        <v>909</v>
      </c>
      <c r="N1657" s="4"/>
    </row>
    <row r="1658" spans="1:14">
      <c r="A1658" s="4" t="s">
        <v>1214</v>
      </c>
      <c r="B1658" s="4" t="s">
        <v>1215</v>
      </c>
      <c r="C1658" s="4" t="s">
        <v>16</v>
      </c>
      <c r="D1658" s="4" t="s">
        <v>1065</v>
      </c>
      <c r="E1658" s="3">
        <v>46222</v>
      </c>
      <c r="F1658" s="5">
        <v>150860</v>
      </c>
      <c r="G1658" s="5">
        <v>150860</v>
      </c>
      <c r="H1658" s="61"/>
      <c r="I1658" s="6" t="str">
        <f t="shared" si="27"/>
        <v/>
      </c>
      <c r="J1658" s="9"/>
      <c r="K1658" s="11"/>
      <c r="L1658" s="11"/>
      <c r="M1658" s="44" t="s">
        <v>909</v>
      </c>
      <c r="N1658" s="4"/>
    </row>
    <row r="1659" spans="1:14">
      <c r="A1659" s="4" t="s">
        <v>1214</v>
      </c>
      <c r="B1659" s="4" t="s">
        <v>1215</v>
      </c>
      <c r="C1659" s="4" t="s">
        <v>16</v>
      </c>
      <c r="D1659" s="4" t="s">
        <v>640</v>
      </c>
      <c r="E1659" s="3">
        <v>46223</v>
      </c>
      <c r="F1659" s="5">
        <v>91960</v>
      </c>
      <c r="G1659" s="5">
        <v>91960</v>
      </c>
      <c r="H1659" s="61"/>
      <c r="I1659" s="6" t="str">
        <f t="shared" si="27"/>
        <v/>
      </c>
      <c r="J1659" s="9"/>
      <c r="K1659" s="11"/>
      <c r="L1659" s="11"/>
      <c r="M1659" s="44" t="s">
        <v>909</v>
      </c>
      <c r="N1659" s="4"/>
    </row>
    <row r="1660" spans="1:14">
      <c r="A1660" s="4" t="s">
        <v>1214</v>
      </c>
      <c r="B1660" s="4" t="s">
        <v>1215</v>
      </c>
      <c r="C1660" s="4" t="s">
        <v>16</v>
      </c>
      <c r="D1660" s="4" t="s">
        <v>367</v>
      </c>
      <c r="E1660" s="3">
        <v>46227</v>
      </c>
      <c r="F1660" s="5">
        <v>58240</v>
      </c>
      <c r="G1660" s="5">
        <v>58240</v>
      </c>
      <c r="H1660" s="61"/>
      <c r="I1660" s="6" t="str">
        <f t="shared" si="27"/>
        <v/>
      </c>
      <c r="J1660" s="9"/>
      <c r="K1660" s="11"/>
      <c r="L1660" s="11"/>
      <c r="M1660" s="44" t="s">
        <v>909</v>
      </c>
      <c r="N1660" s="4"/>
    </row>
    <row r="1661" spans="1:14">
      <c r="A1661" s="4" t="s">
        <v>1214</v>
      </c>
      <c r="B1661" s="4" t="s">
        <v>1215</v>
      </c>
      <c r="C1661" s="4" t="s">
        <v>16</v>
      </c>
      <c r="D1661" s="4" t="s">
        <v>1216</v>
      </c>
      <c r="E1661" s="3">
        <v>46227</v>
      </c>
      <c r="F1661" s="5">
        <v>95000</v>
      </c>
      <c r="G1661" s="5">
        <v>95000</v>
      </c>
      <c r="H1661" s="61"/>
      <c r="I1661" s="6" t="str">
        <f t="shared" si="27"/>
        <v/>
      </c>
      <c r="J1661" s="9"/>
      <c r="K1661" s="11"/>
      <c r="L1661" s="11"/>
      <c r="M1661" s="44" t="s">
        <v>909</v>
      </c>
      <c r="N1661" s="4"/>
    </row>
    <row r="1662" spans="1:14">
      <c r="A1662" s="4" t="s">
        <v>1214</v>
      </c>
      <c r="B1662" s="4" t="s">
        <v>1215</v>
      </c>
      <c r="C1662" s="4" t="s">
        <v>16</v>
      </c>
      <c r="D1662" s="4" t="s">
        <v>368</v>
      </c>
      <c r="E1662" s="3">
        <v>46232</v>
      </c>
      <c r="F1662" s="5">
        <v>67640</v>
      </c>
      <c r="G1662" s="5">
        <v>67640</v>
      </c>
      <c r="H1662" s="61"/>
      <c r="I1662" s="6" t="str">
        <f t="shared" si="27"/>
        <v/>
      </c>
      <c r="J1662" s="9"/>
      <c r="K1662" s="11"/>
      <c r="L1662" s="11"/>
      <c r="M1662" s="44" t="s">
        <v>909</v>
      </c>
      <c r="N1662" s="4"/>
    </row>
    <row r="1663" spans="1:14">
      <c r="A1663" s="4" t="s">
        <v>1214</v>
      </c>
      <c r="B1663" s="4" t="s">
        <v>1215</v>
      </c>
      <c r="C1663" s="4" t="s">
        <v>16</v>
      </c>
      <c r="D1663" s="4" t="s">
        <v>653</v>
      </c>
      <c r="E1663" s="3">
        <v>46232</v>
      </c>
      <c r="F1663" s="5">
        <v>111600</v>
      </c>
      <c r="G1663" s="5">
        <v>111600</v>
      </c>
      <c r="H1663" s="61"/>
      <c r="I1663" s="6" t="str">
        <f t="shared" si="27"/>
        <v/>
      </c>
      <c r="J1663" s="9"/>
      <c r="K1663" s="11"/>
      <c r="L1663" s="11"/>
      <c r="M1663" s="44" t="s">
        <v>909</v>
      </c>
      <c r="N1663" s="4"/>
    </row>
    <row r="1664" spans="1:14">
      <c r="A1664" s="4" t="s">
        <v>1214</v>
      </c>
      <c r="B1664" s="4" t="s">
        <v>1215</v>
      </c>
      <c r="C1664" s="4" t="s">
        <v>16</v>
      </c>
      <c r="D1664" s="4" t="s">
        <v>131</v>
      </c>
      <c r="E1664" s="3">
        <v>46234</v>
      </c>
      <c r="F1664" s="5">
        <v>296400</v>
      </c>
      <c r="G1664" s="5">
        <v>296400</v>
      </c>
      <c r="H1664" s="61"/>
      <c r="I1664" s="6" t="str">
        <f t="shared" si="27"/>
        <v/>
      </c>
      <c r="J1664" s="9"/>
      <c r="K1664" s="11"/>
      <c r="L1664" s="11"/>
      <c r="M1664" s="44" t="s">
        <v>909</v>
      </c>
      <c r="N1664" s="4"/>
    </row>
    <row r="1665" spans="1:14">
      <c r="A1665" s="4" t="s">
        <v>1214</v>
      </c>
      <c r="B1665" s="4" t="s">
        <v>1215</v>
      </c>
      <c r="C1665" s="4" t="s">
        <v>16</v>
      </c>
      <c r="D1665" s="4" t="s">
        <v>543</v>
      </c>
      <c r="E1665" s="3">
        <v>46234</v>
      </c>
      <c r="F1665" s="5">
        <v>264480</v>
      </c>
      <c r="G1665" s="5">
        <v>264480</v>
      </c>
      <c r="H1665" s="61"/>
      <c r="I1665" s="6" t="str">
        <f t="shared" si="27"/>
        <v/>
      </c>
      <c r="J1665" s="9"/>
      <c r="K1665" s="11"/>
      <c r="L1665" s="11"/>
      <c r="M1665" s="44" t="s">
        <v>909</v>
      </c>
      <c r="N1665" s="4"/>
    </row>
    <row r="1666" spans="1:14">
      <c r="A1666" s="4" t="s">
        <v>1214</v>
      </c>
      <c r="B1666" s="4" t="s">
        <v>1215</v>
      </c>
      <c r="C1666" s="4" t="s">
        <v>16</v>
      </c>
      <c r="D1666" s="4" t="s">
        <v>166</v>
      </c>
      <c r="E1666" s="3">
        <v>46237</v>
      </c>
      <c r="F1666" s="5">
        <v>310840</v>
      </c>
      <c r="G1666" s="5">
        <v>310840</v>
      </c>
      <c r="H1666" s="61"/>
      <c r="I1666" s="6" t="str">
        <f t="shared" si="27"/>
        <v/>
      </c>
      <c r="J1666" s="9"/>
      <c r="K1666" s="11"/>
      <c r="L1666" s="11"/>
      <c r="M1666" s="44" t="s">
        <v>909</v>
      </c>
      <c r="N1666" s="4"/>
    </row>
    <row r="1667" spans="1:14">
      <c r="A1667" s="4" t="s">
        <v>1214</v>
      </c>
      <c r="B1667" s="4" t="s">
        <v>1215</v>
      </c>
      <c r="C1667" s="4" t="s">
        <v>16</v>
      </c>
      <c r="D1667" s="4" t="s">
        <v>293</v>
      </c>
      <c r="E1667" s="3">
        <v>46237</v>
      </c>
      <c r="F1667" s="5">
        <v>28500</v>
      </c>
      <c r="G1667" s="5">
        <v>28500</v>
      </c>
      <c r="H1667" s="61"/>
      <c r="I1667" s="6" t="str">
        <f t="shared" si="27"/>
        <v/>
      </c>
      <c r="J1667" s="9"/>
      <c r="K1667" s="11"/>
      <c r="L1667" s="11"/>
      <c r="M1667" s="44" t="s">
        <v>909</v>
      </c>
      <c r="N1667" s="4"/>
    </row>
    <row r="1668" spans="1:14">
      <c r="A1668" s="4" t="s">
        <v>1214</v>
      </c>
      <c r="B1668" s="4" t="s">
        <v>1215</v>
      </c>
      <c r="C1668" s="4" t="s">
        <v>16</v>
      </c>
      <c r="D1668" s="4" t="s">
        <v>150</v>
      </c>
      <c r="E1668" s="3">
        <v>46237</v>
      </c>
      <c r="F1668" s="5">
        <v>234080</v>
      </c>
      <c r="G1668" s="5">
        <v>234080</v>
      </c>
      <c r="H1668" s="61"/>
      <c r="I1668" s="6" t="str">
        <f t="shared" si="27"/>
        <v/>
      </c>
      <c r="J1668" s="9"/>
      <c r="K1668" s="11"/>
      <c r="L1668" s="11"/>
      <c r="M1668" s="44" t="s">
        <v>909</v>
      </c>
      <c r="N1668" s="4"/>
    </row>
    <row r="1669" spans="1:14">
      <c r="A1669" s="4" t="s">
        <v>1214</v>
      </c>
      <c r="B1669" s="4" t="s">
        <v>1215</v>
      </c>
      <c r="C1669" s="4" t="s">
        <v>16</v>
      </c>
      <c r="D1669" s="4" t="s">
        <v>60</v>
      </c>
      <c r="E1669" s="3">
        <v>46244</v>
      </c>
      <c r="F1669" s="5">
        <v>38000</v>
      </c>
      <c r="G1669" s="5">
        <v>38000</v>
      </c>
      <c r="H1669" s="61"/>
      <c r="I1669" s="6" t="str">
        <f t="shared" si="27"/>
        <v/>
      </c>
      <c r="J1669" s="9"/>
      <c r="K1669" s="11"/>
      <c r="L1669" s="11"/>
      <c r="M1669" s="44" t="s">
        <v>909</v>
      </c>
      <c r="N1669" s="4"/>
    </row>
    <row r="1670" spans="1:14">
      <c r="A1670" s="4" t="s">
        <v>1214</v>
      </c>
      <c r="B1670" s="4" t="s">
        <v>1215</v>
      </c>
      <c r="C1670" s="4" t="s">
        <v>16</v>
      </c>
      <c r="D1670" s="4" t="s">
        <v>649</v>
      </c>
      <c r="E1670" s="3">
        <v>46244</v>
      </c>
      <c r="F1670" s="5">
        <v>96900</v>
      </c>
      <c r="G1670" s="5">
        <v>96900</v>
      </c>
      <c r="H1670" s="61"/>
      <c r="I1670" s="6" t="str">
        <f t="shared" si="27"/>
        <v/>
      </c>
      <c r="J1670" s="9"/>
      <c r="K1670" s="11"/>
      <c r="L1670" s="11"/>
      <c r="M1670" s="44" t="s">
        <v>909</v>
      </c>
      <c r="N1670" s="4"/>
    </row>
    <row r="1671" spans="1:14">
      <c r="A1671" s="4" t="s">
        <v>1214</v>
      </c>
      <c r="B1671" s="4" t="s">
        <v>1215</v>
      </c>
      <c r="C1671" s="4" t="s">
        <v>16</v>
      </c>
      <c r="D1671" s="4" t="s">
        <v>1171</v>
      </c>
      <c r="E1671" s="3">
        <v>46244</v>
      </c>
      <c r="F1671" s="5">
        <v>99180</v>
      </c>
      <c r="G1671" s="5">
        <v>99180</v>
      </c>
      <c r="H1671" s="61"/>
      <c r="I1671" s="6" t="str">
        <f t="shared" si="27"/>
        <v/>
      </c>
      <c r="J1671" s="9"/>
      <c r="K1671" s="11"/>
      <c r="L1671" s="11"/>
      <c r="M1671" s="44" t="s">
        <v>909</v>
      </c>
      <c r="N1671" s="4"/>
    </row>
    <row r="1672" spans="1:14">
      <c r="A1672" s="4" t="s">
        <v>1217</v>
      </c>
      <c r="B1672" s="4" t="s">
        <v>1218</v>
      </c>
      <c r="C1672" s="4" t="s">
        <v>16</v>
      </c>
      <c r="D1672" s="4" t="s">
        <v>130</v>
      </c>
      <c r="E1672" s="3">
        <v>46177</v>
      </c>
      <c r="F1672" s="5">
        <v>1520</v>
      </c>
      <c r="G1672" s="5">
        <v>1520</v>
      </c>
      <c r="H1672" s="61"/>
      <c r="I1672" s="6" t="str">
        <f t="shared" si="27"/>
        <v/>
      </c>
      <c r="J1672" s="9"/>
      <c r="K1672" s="11"/>
      <c r="L1672" s="11"/>
      <c r="M1672" s="44" t="s">
        <v>909</v>
      </c>
      <c r="N1672" s="4"/>
    </row>
    <row r="1673" spans="1:14">
      <c r="A1673" s="4" t="s">
        <v>1217</v>
      </c>
      <c r="B1673" s="4" t="s">
        <v>1218</v>
      </c>
      <c r="C1673" s="4" t="s">
        <v>16</v>
      </c>
      <c r="D1673" s="4" t="s">
        <v>29</v>
      </c>
      <c r="E1673" s="3">
        <v>46200</v>
      </c>
      <c r="F1673" s="5">
        <v>9540</v>
      </c>
      <c r="G1673" s="5">
        <v>32340</v>
      </c>
      <c r="H1673" s="61"/>
      <c r="I1673" s="6" t="str">
        <f t="shared" si="27"/>
        <v/>
      </c>
      <c r="J1673" s="9"/>
      <c r="K1673" s="11"/>
      <c r="L1673" s="11"/>
      <c r="M1673" s="44" t="s">
        <v>909</v>
      </c>
      <c r="N1673" s="4"/>
    </row>
    <row r="1674" spans="1:14">
      <c r="A1674" s="4" t="s">
        <v>1219</v>
      </c>
      <c r="B1674" s="4" t="s">
        <v>1220</v>
      </c>
      <c r="C1674" s="4" t="s">
        <v>23</v>
      </c>
      <c r="D1674" s="4" t="s">
        <v>276</v>
      </c>
      <c r="E1674" s="3">
        <v>46210</v>
      </c>
      <c r="F1674" s="5">
        <v>380</v>
      </c>
      <c r="G1674" s="5">
        <v>380</v>
      </c>
      <c r="H1674" s="61">
        <v>0</v>
      </c>
      <c r="I1674" s="6">
        <f t="shared" si="27"/>
        <v>-380</v>
      </c>
      <c r="J1674" s="9"/>
      <c r="K1674" s="11"/>
      <c r="L1674" s="11"/>
      <c r="M1674" s="44" t="s">
        <v>20</v>
      </c>
      <c r="N1674" s="3">
        <v>46275</v>
      </c>
    </row>
    <row r="1675" spans="1:14">
      <c r="A1675" s="4" t="s">
        <v>1221</v>
      </c>
      <c r="B1675" s="4" t="s">
        <v>1222</v>
      </c>
      <c r="C1675" s="4" t="s">
        <v>16</v>
      </c>
      <c r="D1675" s="4" t="s">
        <v>105</v>
      </c>
      <c r="E1675" s="3">
        <v>46227</v>
      </c>
      <c r="F1675" s="5">
        <v>1520</v>
      </c>
      <c r="G1675" s="5">
        <v>24700</v>
      </c>
      <c r="H1675" s="61"/>
      <c r="I1675" s="6" t="str">
        <f t="shared" si="27"/>
        <v/>
      </c>
      <c r="J1675" s="9"/>
      <c r="K1675" s="11"/>
      <c r="L1675" s="11"/>
      <c r="M1675" s="44" t="s">
        <v>909</v>
      </c>
      <c r="N1675" s="4"/>
    </row>
    <row r="1676" spans="1:14">
      <c r="A1676" s="4" t="s">
        <v>1223</v>
      </c>
      <c r="B1676" s="4" t="s">
        <v>1224</v>
      </c>
      <c r="C1676" s="4" t="s">
        <v>16</v>
      </c>
      <c r="D1676" s="4" t="s">
        <v>130</v>
      </c>
      <c r="E1676" s="3">
        <v>46177</v>
      </c>
      <c r="F1676" s="5">
        <v>34200</v>
      </c>
      <c r="G1676" s="5">
        <v>32300</v>
      </c>
      <c r="H1676" s="61"/>
      <c r="I1676" s="6" t="str">
        <f t="shared" si="27"/>
        <v/>
      </c>
      <c r="J1676" s="9"/>
      <c r="K1676" s="11"/>
      <c r="L1676" s="11"/>
      <c r="M1676" s="44" t="s">
        <v>909</v>
      </c>
      <c r="N1676" s="4"/>
    </row>
    <row r="1677" spans="1:14">
      <c r="A1677" s="4" t="s">
        <v>1223</v>
      </c>
      <c r="B1677" s="4" t="s">
        <v>1224</v>
      </c>
      <c r="C1677" s="4" t="s">
        <v>89</v>
      </c>
      <c r="D1677" s="4" t="s">
        <v>130</v>
      </c>
      <c r="E1677" s="3">
        <v>46177</v>
      </c>
      <c r="F1677" s="5">
        <v>-2280</v>
      </c>
      <c r="G1677" s="5">
        <v>3420</v>
      </c>
      <c r="H1677" s="61">
        <v>0</v>
      </c>
      <c r="I1677" s="6">
        <f t="shared" si="27"/>
        <v>2280</v>
      </c>
      <c r="J1677" s="9"/>
      <c r="K1677" s="11"/>
      <c r="L1677" s="11"/>
      <c r="M1677" s="44" t="s">
        <v>20</v>
      </c>
      <c r="N1677" s="3">
        <v>46275</v>
      </c>
    </row>
    <row r="1678" spans="1:14">
      <c r="A1678" s="4" t="s">
        <v>1223</v>
      </c>
      <c r="B1678" s="4" t="s">
        <v>1224</v>
      </c>
      <c r="C1678" s="4" t="s">
        <v>25</v>
      </c>
      <c r="D1678" s="4" t="s">
        <v>130</v>
      </c>
      <c r="E1678" s="3">
        <v>46177</v>
      </c>
      <c r="F1678" s="5">
        <v>5320</v>
      </c>
      <c r="G1678" s="5">
        <v>3420</v>
      </c>
      <c r="H1678" s="61"/>
      <c r="I1678" s="6" t="str">
        <f t="shared" si="27"/>
        <v/>
      </c>
      <c r="J1678" s="9"/>
      <c r="K1678" s="11"/>
      <c r="L1678" s="11"/>
      <c r="M1678" s="44" t="s">
        <v>909</v>
      </c>
      <c r="N1678" s="4"/>
    </row>
    <row r="1679" spans="1:14">
      <c r="A1679" s="4" t="s">
        <v>1225</v>
      </c>
      <c r="B1679" s="4" t="s">
        <v>1226</v>
      </c>
      <c r="C1679" s="4" t="s">
        <v>16</v>
      </c>
      <c r="D1679" s="4" t="s">
        <v>316</v>
      </c>
      <c r="E1679" s="3">
        <v>46179</v>
      </c>
      <c r="F1679" s="5">
        <v>1520</v>
      </c>
      <c r="G1679" s="5">
        <v>113620</v>
      </c>
      <c r="H1679" s="61">
        <v>0</v>
      </c>
      <c r="I1679" s="6">
        <f t="shared" si="27"/>
        <v>-1520</v>
      </c>
      <c r="J1679" s="9"/>
      <c r="K1679" s="11"/>
      <c r="L1679" s="11"/>
      <c r="M1679" s="44" t="s">
        <v>20</v>
      </c>
      <c r="N1679" s="3">
        <v>46275</v>
      </c>
    </row>
    <row r="1680" spans="1:14">
      <c r="A1680" s="4" t="s">
        <v>1227</v>
      </c>
      <c r="B1680" s="4" t="s">
        <v>1228</v>
      </c>
      <c r="C1680" s="4" t="s">
        <v>23</v>
      </c>
      <c r="D1680" s="4" t="s">
        <v>203</v>
      </c>
      <c r="E1680" s="3">
        <v>46191</v>
      </c>
      <c r="F1680" s="5">
        <v>13680</v>
      </c>
      <c r="G1680" s="5">
        <v>13680</v>
      </c>
      <c r="H1680" s="61"/>
      <c r="I1680" s="6" t="str">
        <f t="shared" si="27"/>
        <v/>
      </c>
      <c r="J1680" s="9"/>
      <c r="K1680" s="11"/>
      <c r="L1680" s="11"/>
      <c r="M1680" s="44" t="s">
        <v>909</v>
      </c>
      <c r="N1680" s="4"/>
    </row>
    <row r="1681" spans="1:14">
      <c r="A1681" s="4" t="s">
        <v>1227</v>
      </c>
      <c r="B1681" s="4" t="s">
        <v>1228</v>
      </c>
      <c r="C1681" s="4" t="s">
        <v>16</v>
      </c>
      <c r="D1681" s="4" t="s">
        <v>203</v>
      </c>
      <c r="E1681" s="3">
        <v>46191</v>
      </c>
      <c r="F1681" s="5">
        <v>1900</v>
      </c>
      <c r="G1681" s="5">
        <v>1900</v>
      </c>
      <c r="H1681" s="61"/>
      <c r="I1681" s="6" t="str">
        <f t="shared" si="27"/>
        <v/>
      </c>
      <c r="J1681" s="9"/>
      <c r="K1681" s="11"/>
      <c r="L1681" s="11"/>
      <c r="M1681" s="44" t="s">
        <v>909</v>
      </c>
      <c r="N1681" s="4"/>
    </row>
    <row r="1682" spans="1:14">
      <c r="A1682" s="4" t="s">
        <v>1227</v>
      </c>
      <c r="B1682" s="4" t="s">
        <v>1228</v>
      </c>
      <c r="C1682" s="4" t="s">
        <v>16</v>
      </c>
      <c r="D1682" s="4" t="s">
        <v>224</v>
      </c>
      <c r="E1682" s="3">
        <v>46240</v>
      </c>
      <c r="F1682" s="5">
        <v>26220</v>
      </c>
      <c r="G1682" s="5">
        <v>38760</v>
      </c>
      <c r="H1682" s="61"/>
      <c r="I1682" s="6" t="str">
        <f t="shared" si="27"/>
        <v/>
      </c>
      <c r="J1682" s="9"/>
      <c r="K1682" s="11"/>
      <c r="L1682" s="11"/>
      <c r="M1682" s="44" t="s">
        <v>909</v>
      </c>
      <c r="N1682" s="4"/>
    </row>
    <row r="1683" spans="1:14">
      <c r="A1683" s="4" t="s">
        <v>1229</v>
      </c>
      <c r="B1683" s="4" t="s">
        <v>1230</v>
      </c>
      <c r="C1683" s="4" t="s">
        <v>16</v>
      </c>
      <c r="D1683" s="4" t="s">
        <v>180</v>
      </c>
      <c r="E1683" s="3">
        <v>46208</v>
      </c>
      <c r="F1683" s="5">
        <v>76760</v>
      </c>
      <c r="G1683" s="5">
        <v>76760</v>
      </c>
      <c r="H1683" s="61"/>
      <c r="I1683" s="6" t="str">
        <f t="shared" si="27"/>
        <v/>
      </c>
      <c r="J1683" s="9"/>
      <c r="K1683" s="11"/>
      <c r="L1683" s="11"/>
      <c r="M1683" s="44" t="s">
        <v>909</v>
      </c>
      <c r="N1683" s="4"/>
    </row>
    <row r="1684" spans="1:14">
      <c r="A1684" s="4" t="s">
        <v>1231</v>
      </c>
      <c r="B1684" s="4" t="s">
        <v>1228</v>
      </c>
      <c r="C1684" s="4" t="s">
        <v>16</v>
      </c>
      <c r="D1684" s="4" t="s">
        <v>203</v>
      </c>
      <c r="E1684" s="3">
        <v>46191</v>
      </c>
      <c r="F1684" s="5">
        <v>1140</v>
      </c>
      <c r="G1684" s="5">
        <v>1140</v>
      </c>
      <c r="H1684" s="61">
        <v>0</v>
      </c>
      <c r="I1684" s="6">
        <f t="shared" si="27"/>
        <v>-1140</v>
      </c>
      <c r="J1684" s="9"/>
      <c r="K1684" s="11"/>
      <c r="L1684" s="11"/>
      <c r="M1684" s="44" t="s">
        <v>20</v>
      </c>
      <c r="N1684" s="3">
        <v>46275</v>
      </c>
    </row>
    <row r="1685" spans="1:14">
      <c r="A1685" s="4" t="s">
        <v>1231</v>
      </c>
      <c r="B1685" s="4" t="s">
        <v>1228</v>
      </c>
      <c r="C1685" s="4" t="s">
        <v>16</v>
      </c>
      <c r="D1685" s="4" t="s">
        <v>35</v>
      </c>
      <c r="E1685" s="3">
        <v>46234</v>
      </c>
      <c r="F1685" s="5">
        <v>760</v>
      </c>
      <c r="G1685" s="5">
        <v>2660</v>
      </c>
      <c r="H1685" s="61">
        <v>0</v>
      </c>
      <c r="I1685" s="6">
        <f t="shared" si="27"/>
        <v>-760</v>
      </c>
      <c r="J1685" s="9"/>
      <c r="K1685" s="11"/>
      <c r="L1685" s="11"/>
      <c r="M1685" s="44" t="s">
        <v>20</v>
      </c>
      <c r="N1685" s="3">
        <v>46275</v>
      </c>
    </row>
    <row r="1686" spans="1:14">
      <c r="A1686" s="4" t="s">
        <v>1232</v>
      </c>
      <c r="B1686" s="4" t="s">
        <v>1233</v>
      </c>
      <c r="C1686" s="4" t="s">
        <v>16</v>
      </c>
      <c r="D1686" s="4" t="s">
        <v>293</v>
      </c>
      <c r="E1686" s="3">
        <v>46230</v>
      </c>
      <c r="F1686" s="5">
        <v>27740</v>
      </c>
      <c r="G1686" s="5">
        <v>27740</v>
      </c>
      <c r="H1686" s="61"/>
      <c r="I1686" s="6" t="str">
        <f t="shared" si="27"/>
        <v/>
      </c>
      <c r="J1686" s="9"/>
      <c r="K1686" s="11"/>
      <c r="L1686" s="11"/>
      <c r="M1686" s="44" t="s">
        <v>909</v>
      </c>
      <c r="N1686" s="4"/>
    </row>
    <row r="1687" spans="1:14">
      <c r="A1687" s="4" t="s">
        <v>1234</v>
      </c>
      <c r="B1687" s="4" t="s">
        <v>1235</v>
      </c>
      <c r="C1687" s="4" t="s">
        <v>16</v>
      </c>
      <c r="D1687" s="4" t="s">
        <v>49</v>
      </c>
      <c r="E1687" s="3">
        <v>46240</v>
      </c>
      <c r="F1687" s="5">
        <v>35340</v>
      </c>
      <c r="G1687" s="5">
        <v>35340</v>
      </c>
      <c r="H1687" s="61"/>
      <c r="I1687" s="6" t="str">
        <f t="shared" si="27"/>
        <v/>
      </c>
      <c r="J1687" s="9"/>
      <c r="K1687" s="11"/>
      <c r="L1687" s="11"/>
      <c r="M1687" s="44" t="s">
        <v>909</v>
      </c>
      <c r="N1687" s="4"/>
    </row>
    <row r="1688" spans="1:14">
      <c r="A1688" s="4" t="s">
        <v>1236</v>
      </c>
      <c r="B1688" s="4" t="s">
        <v>1237</v>
      </c>
      <c r="C1688" s="4" t="s">
        <v>16</v>
      </c>
      <c r="D1688" s="4" t="s">
        <v>534</v>
      </c>
      <c r="E1688" s="3">
        <v>46166</v>
      </c>
      <c r="F1688" s="5">
        <v>145540</v>
      </c>
      <c r="G1688" s="5">
        <v>145540</v>
      </c>
      <c r="H1688" s="61"/>
      <c r="I1688" s="6" t="str">
        <f t="shared" si="27"/>
        <v/>
      </c>
      <c r="J1688" s="9"/>
      <c r="K1688" s="11"/>
      <c r="L1688" s="11"/>
      <c r="M1688" s="44" t="s">
        <v>909</v>
      </c>
      <c r="N1688" s="4"/>
    </row>
    <row r="1689" spans="1:14">
      <c r="A1689" s="4" t="s">
        <v>1236</v>
      </c>
      <c r="B1689" s="4" t="s">
        <v>1237</v>
      </c>
      <c r="C1689" s="4" t="s">
        <v>16</v>
      </c>
      <c r="D1689" s="4" t="s">
        <v>496</v>
      </c>
      <c r="E1689" s="3">
        <v>46166</v>
      </c>
      <c r="F1689" s="5">
        <v>158460</v>
      </c>
      <c r="G1689" s="5">
        <v>158460</v>
      </c>
      <c r="H1689" s="61"/>
      <c r="I1689" s="6" t="str">
        <f t="shared" si="27"/>
        <v/>
      </c>
      <c r="J1689" s="9"/>
      <c r="K1689" s="11"/>
      <c r="L1689" s="11"/>
      <c r="M1689" s="44" t="s">
        <v>909</v>
      </c>
      <c r="N1689" s="4"/>
    </row>
    <row r="1690" spans="1:14">
      <c r="A1690" s="4" t="s">
        <v>1236</v>
      </c>
      <c r="B1690" s="4" t="s">
        <v>1237</v>
      </c>
      <c r="C1690" s="4" t="s">
        <v>16</v>
      </c>
      <c r="D1690" s="4" t="s">
        <v>1102</v>
      </c>
      <c r="E1690" s="3">
        <v>46166</v>
      </c>
      <c r="F1690" s="5">
        <v>380</v>
      </c>
      <c r="G1690" s="5">
        <v>380</v>
      </c>
      <c r="H1690" s="61"/>
      <c r="I1690" s="6" t="str">
        <f t="shared" si="27"/>
        <v/>
      </c>
      <c r="J1690" s="9"/>
      <c r="K1690" s="11"/>
      <c r="L1690" s="11"/>
      <c r="M1690" s="44" t="s">
        <v>909</v>
      </c>
      <c r="N1690" s="4"/>
    </row>
    <row r="1691" spans="1:14">
      <c r="A1691" s="4" t="s">
        <v>1236</v>
      </c>
      <c r="B1691" s="4" t="s">
        <v>1237</v>
      </c>
      <c r="C1691" s="4" t="s">
        <v>23</v>
      </c>
      <c r="D1691" s="4" t="s">
        <v>1102</v>
      </c>
      <c r="E1691" s="3">
        <v>46166</v>
      </c>
      <c r="F1691" s="5">
        <v>5700</v>
      </c>
      <c r="G1691" s="5">
        <v>5700</v>
      </c>
      <c r="H1691" s="61"/>
      <c r="I1691" s="6" t="str">
        <f t="shared" ref="I1691:I1751" si="28">IF(H1691="","",H1691-F1691)</f>
        <v/>
      </c>
      <c r="J1691" s="9"/>
      <c r="K1691" s="11"/>
      <c r="L1691" s="11"/>
      <c r="M1691" s="44" t="s">
        <v>909</v>
      </c>
      <c r="N1691" s="4"/>
    </row>
    <row r="1692" spans="1:14">
      <c r="A1692" s="4" t="s">
        <v>1236</v>
      </c>
      <c r="B1692" s="4" t="s">
        <v>1237</v>
      </c>
      <c r="C1692" s="4" t="s">
        <v>89</v>
      </c>
      <c r="D1692" s="4" t="s">
        <v>1102</v>
      </c>
      <c r="E1692" s="3">
        <v>46166</v>
      </c>
      <c r="F1692" s="5">
        <v>13300</v>
      </c>
      <c r="G1692" s="5">
        <v>13300</v>
      </c>
      <c r="H1692" s="61"/>
      <c r="I1692" s="6" t="str">
        <f t="shared" si="28"/>
        <v/>
      </c>
      <c r="J1692" s="9"/>
      <c r="K1692" s="11"/>
      <c r="L1692" s="11"/>
      <c r="M1692" s="44" t="s">
        <v>909</v>
      </c>
      <c r="N1692" s="4"/>
    </row>
    <row r="1693" spans="1:14">
      <c r="A1693" s="4" t="s">
        <v>1236</v>
      </c>
      <c r="B1693" s="4" t="s">
        <v>1237</v>
      </c>
      <c r="C1693" s="4" t="s">
        <v>25</v>
      </c>
      <c r="D1693" s="4" t="s">
        <v>1102</v>
      </c>
      <c r="E1693" s="3">
        <v>46166</v>
      </c>
      <c r="F1693" s="5">
        <v>1320</v>
      </c>
      <c r="G1693" s="5">
        <v>1320</v>
      </c>
      <c r="H1693" s="61"/>
      <c r="I1693" s="6" t="str">
        <f t="shared" si="28"/>
        <v/>
      </c>
      <c r="J1693" s="9"/>
      <c r="K1693" s="11"/>
      <c r="L1693" s="11"/>
      <c r="M1693" s="44" t="s">
        <v>909</v>
      </c>
      <c r="N1693" s="4"/>
    </row>
    <row r="1694" spans="1:14">
      <c r="A1694" s="4" t="s">
        <v>1236</v>
      </c>
      <c r="B1694" s="4" t="s">
        <v>1237</v>
      </c>
      <c r="C1694" s="4" t="s">
        <v>16</v>
      </c>
      <c r="D1694" s="4" t="s">
        <v>95</v>
      </c>
      <c r="E1694" s="3">
        <v>46173</v>
      </c>
      <c r="F1694" s="5">
        <v>319580</v>
      </c>
      <c r="G1694" s="5">
        <v>319580</v>
      </c>
      <c r="H1694" s="61"/>
      <c r="I1694" s="6" t="str">
        <f t="shared" si="28"/>
        <v/>
      </c>
      <c r="J1694" s="9"/>
      <c r="K1694" s="11"/>
      <c r="L1694" s="11"/>
      <c r="M1694" s="44" t="s">
        <v>909</v>
      </c>
      <c r="N1694" s="4"/>
    </row>
    <row r="1695" spans="1:14">
      <c r="A1695" s="4" t="s">
        <v>1236</v>
      </c>
      <c r="B1695" s="4" t="s">
        <v>1237</v>
      </c>
      <c r="C1695" s="4" t="s">
        <v>16</v>
      </c>
      <c r="D1695" s="4" t="s">
        <v>490</v>
      </c>
      <c r="E1695" s="3">
        <v>46175</v>
      </c>
      <c r="F1695" s="5">
        <v>290320</v>
      </c>
      <c r="G1695" s="5">
        <v>290320</v>
      </c>
      <c r="H1695" s="61"/>
      <c r="I1695" s="6" t="str">
        <f t="shared" si="28"/>
        <v/>
      </c>
      <c r="J1695" s="9"/>
      <c r="K1695" s="11"/>
      <c r="L1695" s="11"/>
      <c r="M1695" s="44" t="s">
        <v>909</v>
      </c>
      <c r="N1695" s="4"/>
    </row>
    <row r="1696" spans="1:14">
      <c r="A1696" s="4" t="s">
        <v>1236</v>
      </c>
      <c r="B1696" s="4" t="s">
        <v>1237</v>
      </c>
      <c r="C1696" s="4" t="s">
        <v>16</v>
      </c>
      <c r="D1696" s="4" t="s">
        <v>252</v>
      </c>
      <c r="E1696" s="3">
        <v>46179</v>
      </c>
      <c r="F1696" s="5">
        <v>371260</v>
      </c>
      <c r="G1696" s="5">
        <v>371260</v>
      </c>
      <c r="H1696" s="61"/>
      <c r="I1696" s="6" t="str">
        <f t="shared" si="28"/>
        <v/>
      </c>
      <c r="J1696" s="9"/>
      <c r="K1696" s="11"/>
      <c r="L1696" s="11"/>
      <c r="M1696" s="44" t="s">
        <v>909</v>
      </c>
      <c r="N1696" s="4"/>
    </row>
    <row r="1697" spans="1:14">
      <c r="A1697" s="4" t="s">
        <v>1236</v>
      </c>
      <c r="B1697" s="4" t="s">
        <v>1237</v>
      </c>
      <c r="C1697" s="4" t="s">
        <v>16</v>
      </c>
      <c r="D1697" s="4" t="s">
        <v>316</v>
      </c>
      <c r="E1697" s="3">
        <v>46179</v>
      </c>
      <c r="F1697" s="5">
        <v>541120</v>
      </c>
      <c r="G1697" s="5">
        <v>541120</v>
      </c>
      <c r="H1697" s="61"/>
      <c r="I1697" s="6" t="str">
        <f t="shared" si="28"/>
        <v/>
      </c>
      <c r="J1697" s="9"/>
      <c r="K1697" s="11"/>
      <c r="L1697" s="11"/>
      <c r="M1697" s="44" t="s">
        <v>909</v>
      </c>
      <c r="N1697" s="4"/>
    </row>
    <row r="1698" spans="1:14">
      <c r="A1698" s="4" t="s">
        <v>1236</v>
      </c>
      <c r="B1698" s="4" t="s">
        <v>1237</v>
      </c>
      <c r="C1698" s="4" t="s">
        <v>16</v>
      </c>
      <c r="D1698" s="4" t="s">
        <v>395</v>
      </c>
      <c r="E1698" s="3">
        <v>46179</v>
      </c>
      <c r="F1698" s="5">
        <v>371640</v>
      </c>
      <c r="G1698" s="5">
        <v>371640</v>
      </c>
      <c r="H1698" s="61"/>
      <c r="I1698" s="6" t="str">
        <f t="shared" si="28"/>
        <v/>
      </c>
      <c r="J1698" s="9"/>
      <c r="K1698" s="11"/>
      <c r="L1698" s="11"/>
      <c r="M1698" s="44" t="s">
        <v>909</v>
      </c>
      <c r="N1698" s="4"/>
    </row>
    <row r="1699" spans="1:14">
      <c r="A1699" s="4" t="s">
        <v>1236</v>
      </c>
      <c r="B1699" s="4" t="s">
        <v>1237</v>
      </c>
      <c r="C1699" s="4" t="s">
        <v>16</v>
      </c>
      <c r="D1699" s="4" t="s">
        <v>116</v>
      </c>
      <c r="E1699" s="3">
        <v>46181</v>
      </c>
      <c r="F1699" s="5">
        <v>81700</v>
      </c>
      <c r="G1699" s="5">
        <v>81700</v>
      </c>
      <c r="H1699" s="61"/>
      <c r="I1699" s="6" t="str">
        <f t="shared" si="28"/>
        <v/>
      </c>
      <c r="J1699" s="9"/>
      <c r="K1699" s="11"/>
      <c r="L1699" s="11"/>
      <c r="M1699" s="44" t="s">
        <v>909</v>
      </c>
      <c r="N1699" s="4"/>
    </row>
    <row r="1700" spans="1:14">
      <c r="A1700" s="4" t="s">
        <v>1236</v>
      </c>
      <c r="B1700" s="4" t="s">
        <v>1237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8"/>
        <v/>
      </c>
      <c r="J1700" s="9"/>
      <c r="K1700" s="11"/>
      <c r="L1700" s="11"/>
      <c r="M1700" s="44" t="s">
        <v>909</v>
      </c>
      <c r="N1700" s="4"/>
    </row>
    <row r="1701" spans="1:14">
      <c r="A1701" s="4" t="s">
        <v>1236</v>
      </c>
      <c r="B1701" s="4" t="s">
        <v>1237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8"/>
        <v/>
      </c>
      <c r="J1701" s="9"/>
      <c r="K1701" s="11"/>
      <c r="L1701" s="11"/>
      <c r="M1701" s="44" t="s">
        <v>909</v>
      </c>
      <c r="N1701" s="4"/>
    </row>
    <row r="1702" spans="1:14">
      <c r="A1702" s="4" t="s">
        <v>1236</v>
      </c>
      <c r="B1702" s="4" t="s">
        <v>1237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8"/>
        <v/>
      </c>
      <c r="J1702" s="9"/>
      <c r="K1702" s="11"/>
      <c r="L1702" s="11"/>
      <c r="M1702" s="44" t="s">
        <v>909</v>
      </c>
      <c r="N1702" s="4"/>
    </row>
    <row r="1703" spans="1:14">
      <c r="A1703" s="4" t="s">
        <v>1236</v>
      </c>
      <c r="B1703" s="4" t="s">
        <v>1237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8"/>
        <v/>
      </c>
      <c r="J1703" s="9"/>
      <c r="K1703" s="11"/>
      <c r="L1703" s="11"/>
      <c r="M1703" s="44" t="s">
        <v>909</v>
      </c>
      <c r="N1703" s="4"/>
    </row>
    <row r="1704" spans="1:14">
      <c r="A1704" s="4" t="s">
        <v>1238</v>
      </c>
      <c r="B1704" s="4" t="s">
        <v>1239</v>
      </c>
      <c r="C1704" s="4" t="s">
        <v>89</v>
      </c>
      <c r="D1704" s="4" t="s">
        <v>142</v>
      </c>
      <c r="E1704" s="3">
        <v>46132</v>
      </c>
      <c r="F1704" s="5">
        <v>1900</v>
      </c>
      <c r="G1704" s="5">
        <v>1900</v>
      </c>
      <c r="H1704" s="61">
        <v>1140</v>
      </c>
      <c r="I1704" s="6">
        <f t="shared" si="28"/>
        <v>-760</v>
      </c>
      <c r="J1704" s="9">
        <v>46246</v>
      </c>
      <c r="K1704" s="11" t="s">
        <v>327</v>
      </c>
      <c r="L1704" s="11" t="s">
        <v>254</v>
      </c>
      <c r="M1704" s="44" t="s">
        <v>20</v>
      </c>
      <c r="N1704" s="3">
        <v>46247</v>
      </c>
    </row>
    <row r="1705" spans="1:14">
      <c r="A1705" s="4" t="s">
        <v>1238</v>
      </c>
      <c r="B1705" s="4" t="s">
        <v>1239</v>
      </c>
      <c r="C1705" s="4" t="s">
        <v>25</v>
      </c>
      <c r="D1705" s="4" t="s">
        <v>156</v>
      </c>
      <c r="E1705" s="3">
        <v>46159</v>
      </c>
      <c r="F1705" s="5">
        <v>1900</v>
      </c>
      <c r="G1705" s="5">
        <v>1900</v>
      </c>
      <c r="H1705" s="61">
        <v>5700</v>
      </c>
      <c r="I1705" s="6">
        <f t="shared" si="28"/>
        <v>3800</v>
      </c>
      <c r="J1705" s="9">
        <v>46246</v>
      </c>
      <c r="K1705" s="11" t="s">
        <v>327</v>
      </c>
      <c r="L1705" s="11" t="s">
        <v>254</v>
      </c>
      <c r="M1705" s="44" t="s">
        <v>20</v>
      </c>
      <c r="N1705" s="3">
        <v>46247</v>
      </c>
    </row>
    <row r="1706" spans="1:14">
      <c r="A1706" s="4" t="s">
        <v>1238</v>
      </c>
      <c r="B1706" s="4" t="s">
        <v>1239</v>
      </c>
      <c r="C1706" s="4" t="s">
        <v>16</v>
      </c>
      <c r="D1706" s="4" t="s">
        <v>156</v>
      </c>
      <c r="E1706" s="3">
        <v>46159</v>
      </c>
      <c r="F1706" s="5">
        <v>1140</v>
      </c>
      <c r="G1706" s="5">
        <v>1140</v>
      </c>
      <c r="H1706" s="61">
        <v>0</v>
      </c>
      <c r="I1706" s="6">
        <f t="shared" si="28"/>
        <v>-1140</v>
      </c>
      <c r="J1706" s="9"/>
      <c r="K1706" s="11"/>
      <c r="L1706" s="11"/>
      <c r="M1706" s="44" t="s">
        <v>20</v>
      </c>
      <c r="N1706" s="3">
        <v>46247</v>
      </c>
    </row>
    <row r="1707" spans="1:14">
      <c r="A1707" s="4" t="s">
        <v>1238</v>
      </c>
      <c r="B1707" s="4" t="s">
        <v>1239</v>
      </c>
      <c r="C1707" s="4" t="s">
        <v>16</v>
      </c>
      <c r="D1707" s="4" t="s">
        <v>130</v>
      </c>
      <c r="E1707" s="3">
        <v>46177</v>
      </c>
      <c r="F1707" s="5">
        <v>63840</v>
      </c>
      <c r="G1707" s="5">
        <v>63080</v>
      </c>
      <c r="H1707" s="61">
        <v>49400</v>
      </c>
      <c r="I1707" s="6">
        <f t="shared" si="28"/>
        <v>-14440</v>
      </c>
      <c r="J1707" s="9">
        <v>46246</v>
      </c>
      <c r="K1707" s="11" t="s">
        <v>327</v>
      </c>
      <c r="L1707" s="11" t="s">
        <v>254</v>
      </c>
      <c r="M1707" s="44" t="s">
        <v>20</v>
      </c>
      <c r="N1707" s="3">
        <v>46275</v>
      </c>
    </row>
    <row r="1708" spans="1:14">
      <c r="A1708" s="4" t="s">
        <v>1238</v>
      </c>
      <c r="B1708" s="4" t="s">
        <v>1239</v>
      </c>
      <c r="C1708" s="4" t="s">
        <v>16</v>
      </c>
      <c r="D1708" s="4" t="s">
        <v>142</v>
      </c>
      <c r="E1708" s="3">
        <v>46177</v>
      </c>
      <c r="F1708" s="5">
        <v>1140</v>
      </c>
      <c r="G1708" s="5">
        <v>1140</v>
      </c>
      <c r="H1708" s="61">
        <v>0</v>
      </c>
      <c r="I1708" s="6">
        <f t="shared" si="28"/>
        <v>-1140</v>
      </c>
      <c r="J1708" s="9"/>
      <c r="K1708" s="11"/>
      <c r="L1708" s="11"/>
      <c r="M1708" s="44" t="s">
        <v>20</v>
      </c>
      <c r="N1708" s="3">
        <v>46247</v>
      </c>
    </row>
    <row r="1709" spans="1:14">
      <c r="A1709" s="4" t="s">
        <v>1238</v>
      </c>
      <c r="B1709" s="4" t="s">
        <v>1239</v>
      </c>
      <c r="C1709" s="4" t="s">
        <v>25</v>
      </c>
      <c r="D1709" s="4" t="s">
        <v>130</v>
      </c>
      <c r="E1709" s="3">
        <v>46177</v>
      </c>
      <c r="F1709" s="5">
        <v>1900</v>
      </c>
      <c r="G1709" s="5">
        <v>14440</v>
      </c>
      <c r="H1709" s="61">
        <v>0</v>
      </c>
      <c r="I1709" s="6">
        <f t="shared" si="28"/>
        <v>-1900</v>
      </c>
      <c r="J1709" s="9"/>
      <c r="K1709" s="11"/>
      <c r="L1709" s="11"/>
      <c r="M1709" s="44" t="s">
        <v>20</v>
      </c>
      <c r="N1709" s="3">
        <v>46275</v>
      </c>
    </row>
    <row r="1710" spans="1:14">
      <c r="A1710" s="4" t="s">
        <v>1238</v>
      </c>
      <c r="B1710" s="4" t="s">
        <v>1239</v>
      </c>
      <c r="C1710" s="4" t="s">
        <v>25</v>
      </c>
      <c r="D1710" s="4" t="s">
        <v>185</v>
      </c>
      <c r="E1710" s="3">
        <v>46193</v>
      </c>
      <c r="F1710" s="5">
        <v>27360</v>
      </c>
      <c r="G1710" s="5">
        <v>27360</v>
      </c>
      <c r="H1710" s="61">
        <v>0</v>
      </c>
      <c r="I1710" s="6">
        <f t="shared" si="28"/>
        <v>-27360</v>
      </c>
      <c r="J1710" s="9"/>
      <c r="K1710" s="11"/>
      <c r="L1710" s="11"/>
      <c r="M1710" s="44" t="s">
        <v>20</v>
      </c>
      <c r="N1710" s="3">
        <v>46247</v>
      </c>
    </row>
    <row r="1711" spans="1:14">
      <c r="A1711" s="4" t="s">
        <v>1238</v>
      </c>
      <c r="B1711" s="4" t="s">
        <v>1239</v>
      </c>
      <c r="C1711" s="4" t="s">
        <v>16</v>
      </c>
      <c r="D1711" s="4" t="s">
        <v>171</v>
      </c>
      <c r="E1711" s="3">
        <v>46193</v>
      </c>
      <c r="F1711" s="5">
        <v>1900</v>
      </c>
      <c r="G1711" s="5">
        <v>1900</v>
      </c>
      <c r="H1711" s="61">
        <v>0</v>
      </c>
      <c r="I1711" s="6">
        <f t="shared" si="28"/>
        <v>-1900</v>
      </c>
      <c r="J1711" s="9"/>
      <c r="K1711" s="11"/>
      <c r="L1711" s="11"/>
      <c r="M1711" s="44" t="s">
        <v>20</v>
      </c>
      <c r="N1711" s="3">
        <v>46247</v>
      </c>
    </row>
    <row r="1712" spans="1:14">
      <c r="A1712" s="4" t="s">
        <v>1238</v>
      </c>
      <c r="B1712" s="4" t="s">
        <v>1239</v>
      </c>
      <c r="C1712" s="4" t="s">
        <v>16</v>
      </c>
      <c r="D1712" s="4" t="s">
        <v>185</v>
      </c>
      <c r="E1712" s="3">
        <v>46193</v>
      </c>
      <c r="F1712" s="5">
        <v>58900</v>
      </c>
      <c r="G1712" s="5">
        <v>58900</v>
      </c>
      <c r="H1712" s="61">
        <v>42180</v>
      </c>
      <c r="I1712" s="6">
        <f t="shared" si="28"/>
        <v>-16720</v>
      </c>
      <c r="J1712" s="9">
        <v>46246</v>
      </c>
      <c r="K1712" s="11" t="s">
        <v>327</v>
      </c>
      <c r="L1712" s="11" t="s">
        <v>254</v>
      </c>
      <c r="M1712" s="44" t="s">
        <v>20</v>
      </c>
      <c r="N1712" s="3">
        <v>46247</v>
      </c>
    </row>
    <row r="1713" spans="1:14">
      <c r="A1713" s="4" t="s">
        <v>1240</v>
      </c>
      <c r="B1713" s="4" t="s">
        <v>1241</v>
      </c>
      <c r="C1713" s="4" t="s">
        <v>16</v>
      </c>
      <c r="D1713" s="4" t="s">
        <v>377</v>
      </c>
      <c r="E1713" s="3">
        <v>46119</v>
      </c>
      <c r="F1713" s="5">
        <v>3800</v>
      </c>
      <c r="G1713" s="5">
        <v>3800</v>
      </c>
      <c r="H1713" s="61">
        <v>0</v>
      </c>
      <c r="I1713" s="6">
        <f t="shared" si="28"/>
        <v>-3800</v>
      </c>
      <c r="J1713" s="9">
        <v>46245</v>
      </c>
      <c r="K1713" s="11" t="s">
        <v>141</v>
      </c>
      <c r="L1713" s="11"/>
      <c r="M1713" s="44" t="s">
        <v>20</v>
      </c>
      <c r="N1713" s="3">
        <v>46245</v>
      </c>
    </row>
    <row r="1714" spans="1:14">
      <c r="A1714" s="4" t="s">
        <v>1240</v>
      </c>
      <c r="B1714" s="4" t="s">
        <v>1241</v>
      </c>
      <c r="C1714" s="4" t="s">
        <v>23</v>
      </c>
      <c r="D1714" s="4" t="s">
        <v>377</v>
      </c>
      <c r="E1714" s="3">
        <v>46119</v>
      </c>
      <c r="F1714" s="5">
        <v>-380</v>
      </c>
      <c r="G1714" s="5">
        <v>380</v>
      </c>
      <c r="H1714" s="61">
        <v>0</v>
      </c>
      <c r="I1714" s="6">
        <f t="shared" si="28"/>
        <v>380</v>
      </c>
      <c r="J1714" s="9">
        <v>46245</v>
      </c>
      <c r="K1714" s="11" t="s">
        <v>141</v>
      </c>
      <c r="L1714" s="11"/>
      <c r="M1714" s="44" t="s">
        <v>20</v>
      </c>
      <c r="N1714" s="3">
        <v>46272</v>
      </c>
    </row>
    <row r="1715" spans="1:14">
      <c r="A1715" s="4" t="s">
        <v>1240</v>
      </c>
      <c r="B1715" s="4" t="s">
        <v>1241</v>
      </c>
      <c r="C1715" s="4" t="s">
        <v>23</v>
      </c>
      <c r="D1715" s="4" t="s">
        <v>1242</v>
      </c>
      <c r="E1715" s="3">
        <v>46119</v>
      </c>
      <c r="F1715" s="5">
        <v>-1900</v>
      </c>
      <c r="G1715" s="5">
        <v>1900</v>
      </c>
      <c r="H1715" s="61">
        <v>0</v>
      </c>
      <c r="I1715" s="6">
        <f t="shared" si="28"/>
        <v>1900</v>
      </c>
      <c r="J1715" s="9">
        <v>46245</v>
      </c>
      <c r="K1715" s="11" t="s">
        <v>141</v>
      </c>
      <c r="L1715" s="11"/>
      <c r="M1715" s="1" t="s">
        <v>20</v>
      </c>
      <c r="N1715" s="3">
        <v>46272</v>
      </c>
    </row>
    <row r="1716" spans="1:14">
      <c r="A1716" s="4" t="s">
        <v>1240</v>
      </c>
      <c r="B1716" s="4" t="s">
        <v>1241</v>
      </c>
      <c r="C1716" s="4" t="s">
        <v>89</v>
      </c>
      <c r="D1716" s="4" t="s">
        <v>158</v>
      </c>
      <c r="E1716" s="3">
        <v>46161</v>
      </c>
      <c r="F1716" s="5">
        <v>380</v>
      </c>
      <c r="G1716" s="5">
        <v>380</v>
      </c>
      <c r="H1716" s="61">
        <v>0</v>
      </c>
      <c r="I1716" s="6">
        <f t="shared" si="28"/>
        <v>-380</v>
      </c>
      <c r="J1716" s="9">
        <v>46245</v>
      </c>
      <c r="K1716" s="11" t="s">
        <v>141</v>
      </c>
      <c r="L1716" s="11"/>
      <c r="M1716" s="44" t="s">
        <v>20</v>
      </c>
      <c r="N1716" s="3">
        <v>46245</v>
      </c>
    </row>
    <row r="1717" spans="1:14">
      <c r="A1717" s="4" t="s">
        <v>1240</v>
      </c>
      <c r="B1717" s="4" t="s">
        <v>1241</v>
      </c>
      <c r="C1717" s="4" t="s">
        <v>16</v>
      </c>
      <c r="D1717" s="4" t="s">
        <v>158</v>
      </c>
      <c r="E1717" s="3">
        <v>46161</v>
      </c>
      <c r="F1717" s="5">
        <v>58900</v>
      </c>
      <c r="G1717" s="5">
        <v>1140</v>
      </c>
      <c r="H1717" s="61">
        <v>7220</v>
      </c>
      <c r="I1717" s="6">
        <f t="shared" si="28"/>
        <v>-51680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>
      <c r="A1718" s="4" t="s">
        <v>1240</v>
      </c>
      <c r="B1718" s="4" t="s">
        <v>1241</v>
      </c>
      <c r="C1718" s="4" t="s">
        <v>23</v>
      </c>
      <c r="D1718" s="4" t="s">
        <v>158</v>
      </c>
      <c r="E1718" s="3">
        <v>46161</v>
      </c>
      <c r="F1718" s="5">
        <v>0</v>
      </c>
      <c r="G1718" s="5">
        <v>3420</v>
      </c>
      <c r="H1718" s="61">
        <v>0</v>
      </c>
      <c r="I1718" s="6">
        <f t="shared" si="28"/>
        <v>0</v>
      </c>
      <c r="J1718" s="9">
        <v>46245</v>
      </c>
      <c r="K1718" s="11" t="s">
        <v>141</v>
      </c>
      <c r="L1718" s="11"/>
      <c r="M1718" s="119" t="s">
        <v>20</v>
      </c>
      <c r="N1718" s="3">
        <v>46245</v>
      </c>
    </row>
    <row r="1719" spans="1:14">
      <c r="A1719" s="4" t="s">
        <v>1243</v>
      </c>
      <c r="B1719" s="4" t="s">
        <v>1244</v>
      </c>
      <c r="C1719" s="4" t="s">
        <v>16</v>
      </c>
      <c r="D1719" s="4" t="s">
        <v>1245</v>
      </c>
      <c r="E1719" s="3">
        <v>45649</v>
      </c>
      <c r="F1719" s="5">
        <v>26600</v>
      </c>
      <c r="G1719" s="5">
        <v>26600</v>
      </c>
      <c r="H1719" s="61">
        <v>25460</v>
      </c>
      <c r="I1719" s="6">
        <f t="shared" si="28"/>
        <v>-1140</v>
      </c>
      <c r="J1719" s="9">
        <v>46246</v>
      </c>
      <c r="K1719" s="31" t="s">
        <v>157</v>
      </c>
      <c r="L1719" s="31" t="s">
        <v>109</v>
      </c>
      <c r="M1719" s="44" t="s">
        <v>20</v>
      </c>
      <c r="N1719" s="3">
        <v>46247</v>
      </c>
    </row>
    <row r="1720" spans="1:14">
      <c r="A1720" s="4" t="s">
        <v>1243</v>
      </c>
      <c r="B1720" s="4" t="s">
        <v>1244</v>
      </c>
      <c r="C1720" s="4" t="s">
        <v>23</v>
      </c>
      <c r="D1720" s="4" t="s">
        <v>1245</v>
      </c>
      <c r="E1720" s="3">
        <v>45649</v>
      </c>
      <c r="F1720" s="5">
        <v>7600</v>
      </c>
      <c r="G1720" s="5">
        <v>7600</v>
      </c>
      <c r="H1720" s="61">
        <v>0</v>
      </c>
      <c r="I1720" s="6">
        <f t="shared" si="28"/>
        <v>-7600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>
      <c r="A1721" s="4" t="s">
        <v>1243</v>
      </c>
      <c r="B1721" s="4" t="s">
        <v>1244</v>
      </c>
      <c r="C1721" s="4" t="s">
        <v>23</v>
      </c>
      <c r="D1721" s="4" t="s">
        <v>1246</v>
      </c>
      <c r="E1721" s="3">
        <v>45673</v>
      </c>
      <c r="F1721" s="5">
        <v>43700</v>
      </c>
      <c r="G1721" s="5">
        <v>30400</v>
      </c>
      <c r="H1721" s="61">
        <v>0</v>
      </c>
      <c r="I1721" s="6">
        <f t="shared" si="28"/>
        <v>-43700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>
      <c r="A1722" s="4" t="s">
        <v>1243</v>
      </c>
      <c r="B1722" s="4" t="s">
        <v>1244</v>
      </c>
      <c r="C1722" s="4" t="s">
        <v>16</v>
      </c>
      <c r="D1722" s="4" t="s">
        <v>1246</v>
      </c>
      <c r="E1722" s="3">
        <v>45673</v>
      </c>
      <c r="F1722" s="5">
        <v>98140</v>
      </c>
      <c r="G1722" s="5">
        <v>98140</v>
      </c>
      <c r="H1722" s="61">
        <v>98040</v>
      </c>
      <c r="I1722" s="6">
        <f t="shared" si="28"/>
        <v>-100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>
      <c r="A1723" s="4" t="s">
        <v>1243</v>
      </c>
      <c r="B1723" s="4" t="s">
        <v>1244</v>
      </c>
      <c r="C1723" s="4" t="s">
        <v>16</v>
      </c>
      <c r="D1723" s="4" t="s">
        <v>1247</v>
      </c>
      <c r="E1723" s="3">
        <v>45674</v>
      </c>
      <c r="F1723" s="5">
        <v>44460</v>
      </c>
      <c r="G1723" s="5">
        <v>44460</v>
      </c>
      <c r="H1723" s="61">
        <v>48640</v>
      </c>
      <c r="I1723" s="6">
        <f t="shared" si="28"/>
        <v>4180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>
      <c r="A1724" s="4" t="s">
        <v>1243</v>
      </c>
      <c r="B1724" s="4" t="s">
        <v>1244</v>
      </c>
      <c r="C1724" s="4" t="s">
        <v>23</v>
      </c>
      <c r="D1724" s="4" t="s">
        <v>1247</v>
      </c>
      <c r="E1724" s="3">
        <v>45674</v>
      </c>
      <c r="F1724" s="5">
        <v>0</v>
      </c>
      <c r="G1724" s="5">
        <v>5320</v>
      </c>
      <c r="H1724" s="61">
        <v>0</v>
      </c>
      <c r="I1724" s="6">
        <f t="shared" si="28"/>
        <v>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>
      <c r="A1725" s="4" t="s">
        <v>1243</v>
      </c>
      <c r="B1725" s="4" t="s">
        <v>1244</v>
      </c>
      <c r="C1725" s="4" t="s">
        <v>16</v>
      </c>
      <c r="D1725" s="4" t="s">
        <v>732</v>
      </c>
      <c r="E1725" s="3">
        <v>46181</v>
      </c>
      <c r="F1725" s="5">
        <v>1900</v>
      </c>
      <c r="G1725" s="5">
        <v>380</v>
      </c>
      <c r="H1725" s="61">
        <v>380</v>
      </c>
      <c r="I1725" s="6">
        <f t="shared" si="28"/>
        <v>-1520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>
      <c r="A1726" s="4" t="s">
        <v>1243</v>
      </c>
      <c r="B1726" s="4" t="s">
        <v>1244</v>
      </c>
      <c r="C1726" s="4" t="s">
        <v>16</v>
      </c>
      <c r="D1726" s="4">
        <v>3192024</v>
      </c>
      <c r="E1726" s="3"/>
      <c r="F1726" s="5">
        <v>0</v>
      </c>
      <c r="G1726" s="5"/>
      <c r="H1726" s="61">
        <v>19000</v>
      </c>
      <c r="I1726" s="6">
        <f t="shared" si="28"/>
        <v>19000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>
      <c r="A1727" s="4" t="s">
        <v>1243</v>
      </c>
      <c r="B1727" s="4" t="s">
        <v>1244</v>
      </c>
      <c r="C1727" s="4" t="s">
        <v>16</v>
      </c>
      <c r="D1727" s="4">
        <v>10112024</v>
      </c>
      <c r="E1727" s="3"/>
      <c r="F1727" s="5">
        <v>0</v>
      </c>
      <c r="G1727" s="5"/>
      <c r="H1727" s="61">
        <v>1900</v>
      </c>
      <c r="I1727" s="6">
        <f t="shared" si="28"/>
        <v>1900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>
      <c r="A1728" s="4" t="s">
        <v>1248</v>
      </c>
      <c r="B1728" s="4" t="s">
        <v>1249</v>
      </c>
      <c r="C1728" s="4" t="s">
        <v>16</v>
      </c>
      <c r="D1728" s="4" t="s">
        <v>1247</v>
      </c>
      <c r="E1728" s="3">
        <v>45674</v>
      </c>
      <c r="F1728" s="5">
        <v>3040</v>
      </c>
      <c r="G1728" s="5">
        <v>3040</v>
      </c>
      <c r="H1728" s="61">
        <v>1900</v>
      </c>
      <c r="I1728" s="6">
        <f t="shared" si="28"/>
        <v>-1140</v>
      </c>
      <c r="J1728" s="9">
        <v>46258</v>
      </c>
      <c r="K1728" s="31" t="s">
        <v>908</v>
      </c>
      <c r="L1728" s="31" t="s">
        <v>109</v>
      </c>
      <c r="M1728" s="44" t="s">
        <v>20</v>
      </c>
      <c r="N1728" s="3">
        <v>46258</v>
      </c>
    </row>
    <row r="1729" spans="1:14">
      <c r="A1729" s="4" t="s">
        <v>1248</v>
      </c>
      <c r="B1729" s="4" t="s">
        <v>1249</v>
      </c>
      <c r="C1729" s="4" t="s">
        <v>16</v>
      </c>
      <c r="D1729" s="4" t="s">
        <v>1250</v>
      </c>
      <c r="E1729" s="3">
        <v>45726</v>
      </c>
      <c r="F1729" s="5">
        <v>7600</v>
      </c>
      <c r="G1729" s="5">
        <v>7600</v>
      </c>
      <c r="H1729" s="61">
        <v>7600</v>
      </c>
      <c r="I1729" s="6">
        <f t="shared" si="28"/>
        <v>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>
      <c r="A1730" s="4" t="s">
        <v>1248</v>
      </c>
      <c r="B1730" s="4" t="s">
        <v>1249</v>
      </c>
      <c r="C1730" s="4" t="s">
        <v>16</v>
      </c>
      <c r="D1730" s="4" t="s">
        <v>1251</v>
      </c>
      <c r="E1730" s="3">
        <v>45726</v>
      </c>
      <c r="F1730" s="5">
        <v>9500</v>
      </c>
      <c r="G1730" s="5">
        <v>9500</v>
      </c>
      <c r="H1730" s="61">
        <v>9500</v>
      </c>
      <c r="I1730" s="6">
        <f t="shared" si="28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>
      <c r="A1731" s="4" t="s">
        <v>1252</v>
      </c>
      <c r="B1731" s="4" t="s">
        <v>1253</v>
      </c>
      <c r="C1731" s="4" t="s">
        <v>16</v>
      </c>
      <c r="D1731" s="4" t="s">
        <v>1254</v>
      </c>
      <c r="E1731" s="3">
        <v>46003</v>
      </c>
      <c r="F1731" s="5">
        <v>380</v>
      </c>
      <c r="G1731" s="5">
        <v>380</v>
      </c>
      <c r="H1731" s="61">
        <v>0</v>
      </c>
      <c r="I1731" s="6">
        <f t="shared" si="28"/>
        <v>-380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>
      <c r="A1732" s="4" t="s">
        <v>1255</v>
      </c>
      <c r="B1732" s="4" t="s">
        <v>1256</v>
      </c>
      <c r="C1732" s="4" t="s">
        <v>16</v>
      </c>
      <c r="D1732" s="4" t="s">
        <v>782</v>
      </c>
      <c r="E1732" s="3">
        <v>45684</v>
      </c>
      <c r="F1732" s="5">
        <v>1900</v>
      </c>
      <c r="G1732" s="5">
        <v>1900</v>
      </c>
      <c r="H1732" s="61">
        <v>1900</v>
      </c>
      <c r="I1732" s="6">
        <f t="shared" si="28"/>
        <v>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>
      <c r="A1733" s="4" t="s">
        <v>1257</v>
      </c>
      <c r="B1733" s="4" t="s">
        <v>1258</v>
      </c>
      <c r="C1733" s="4" t="s">
        <v>16</v>
      </c>
      <c r="D1733" s="4" t="s">
        <v>1259</v>
      </c>
      <c r="E1733" s="3">
        <v>45716</v>
      </c>
      <c r="F1733" s="5">
        <v>380</v>
      </c>
      <c r="G1733" s="5">
        <v>380</v>
      </c>
      <c r="H1733" s="61">
        <v>0</v>
      </c>
      <c r="I1733" s="6">
        <f t="shared" si="28"/>
        <v>-380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>
      <c r="A1734" s="4" t="s">
        <v>1260</v>
      </c>
      <c r="B1734" s="4" t="s">
        <v>1261</v>
      </c>
      <c r="C1734" s="4" t="s">
        <v>16</v>
      </c>
      <c r="D1734" s="4" t="s">
        <v>521</v>
      </c>
      <c r="E1734" s="3">
        <v>46033</v>
      </c>
      <c r="F1734" s="5">
        <v>15200</v>
      </c>
      <c r="G1734" s="5">
        <v>13300</v>
      </c>
      <c r="H1734" s="61">
        <v>4560</v>
      </c>
      <c r="I1734" s="6">
        <f t="shared" si="28"/>
        <v>-10640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>
      <c r="A1735" s="4" t="s">
        <v>1260</v>
      </c>
      <c r="B1735" s="4" t="s">
        <v>1261</v>
      </c>
      <c r="C1735" s="4" t="s">
        <v>25</v>
      </c>
      <c r="D1735" s="4" t="s">
        <v>884</v>
      </c>
      <c r="E1735" s="3">
        <v>46049</v>
      </c>
      <c r="F1735" s="5">
        <v>0</v>
      </c>
      <c r="G1735" s="5">
        <v>3420</v>
      </c>
      <c r="H1735" s="61">
        <v>0</v>
      </c>
      <c r="I1735" s="6">
        <f t="shared" si="28"/>
        <v>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>
      <c r="A1736" s="4" t="s">
        <v>1260</v>
      </c>
      <c r="B1736" s="4" t="s">
        <v>1261</v>
      </c>
      <c r="C1736" s="40" t="s">
        <v>16</v>
      </c>
      <c r="D1736" s="4" t="s">
        <v>884</v>
      </c>
      <c r="E1736" s="3">
        <v>46049</v>
      </c>
      <c r="F1736" s="5">
        <v>20900</v>
      </c>
      <c r="G1736" s="5">
        <v>20900</v>
      </c>
      <c r="H1736" s="61">
        <v>11020</v>
      </c>
      <c r="I1736" s="6">
        <f t="shared" si="28"/>
        <v>-9880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>
      <c r="A1737" s="4" t="s">
        <v>1260</v>
      </c>
      <c r="B1737" s="4" t="s">
        <v>1261</v>
      </c>
      <c r="C1737" s="4" t="s">
        <v>16</v>
      </c>
      <c r="D1737" s="4" t="s">
        <v>399</v>
      </c>
      <c r="E1737" s="3">
        <v>46078</v>
      </c>
      <c r="F1737" s="5">
        <v>19000</v>
      </c>
      <c r="G1737" s="5">
        <v>19000</v>
      </c>
      <c r="H1737" s="61">
        <v>1520</v>
      </c>
      <c r="I1737" s="6">
        <f t="shared" si="28"/>
        <v>-17480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>
      <c r="A1738" s="4" t="s">
        <v>1260</v>
      </c>
      <c r="B1738" s="4" t="s">
        <v>1261</v>
      </c>
      <c r="C1738" s="4" t="s">
        <v>25</v>
      </c>
      <c r="D1738" s="4" t="s">
        <v>399</v>
      </c>
      <c r="E1738" s="3">
        <v>46078</v>
      </c>
      <c r="F1738" s="5">
        <v>15960</v>
      </c>
      <c r="G1738" s="5">
        <v>15960</v>
      </c>
      <c r="H1738" s="61">
        <v>0</v>
      </c>
      <c r="I1738" s="6">
        <f t="shared" si="28"/>
        <v>-15960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>
      <c r="A1739" s="4" t="s">
        <v>1260</v>
      </c>
      <c r="B1739" s="4" t="s">
        <v>1261</v>
      </c>
      <c r="C1739" s="4" t="s">
        <v>16</v>
      </c>
      <c r="D1739" s="4" t="s">
        <v>308</v>
      </c>
      <c r="E1739" s="3">
        <v>46081</v>
      </c>
      <c r="F1739" s="5">
        <v>9500</v>
      </c>
      <c r="G1739" s="5">
        <v>9500</v>
      </c>
      <c r="H1739" s="61">
        <v>0</v>
      </c>
      <c r="I1739" s="6">
        <f t="shared" si="28"/>
        <v>-9500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>
      <c r="A1740" s="4" t="s">
        <v>1260</v>
      </c>
      <c r="B1740" s="4" t="s">
        <v>1261</v>
      </c>
      <c r="C1740" s="4" t="s">
        <v>16</v>
      </c>
      <c r="D1740" s="4" t="s">
        <v>435</v>
      </c>
      <c r="E1740" s="3">
        <v>46081</v>
      </c>
      <c r="F1740" s="5">
        <v>378.1</v>
      </c>
      <c r="G1740" s="5">
        <v>378.1</v>
      </c>
      <c r="H1740" s="61">
        <v>0</v>
      </c>
      <c r="I1740" s="6">
        <f t="shared" si="28"/>
        <v>-378.1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>
      <c r="A1741" s="4" t="s">
        <v>1260</v>
      </c>
      <c r="B1741" s="4" t="s">
        <v>1261</v>
      </c>
      <c r="C1741" s="40" t="s">
        <v>16</v>
      </c>
      <c r="D1741" s="4" t="s">
        <v>308</v>
      </c>
      <c r="E1741" s="3">
        <v>46081</v>
      </c>
      <c r="F1741" s="5">
        <v>104501.9</v>
      </c>
      <c r="G1741" s="5">
        <v>90441.9</v>
      </c>
      <c r="H1741" s="61">
        <v>6840</v>
      </c>
      <c r="I1741" s="6">
        <f t="shared" si="28"/>
        <v>-97661.9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>
      <c r="A1742" s="4" t="s">
        <v>1260</v>
      </c>
      <c r="B1742" s="4" t="s">
        <v>1261</v>
      </c>
      <c r="C1742" s="4" t="s">
        <v>89</v>
      </c>
      <c r="D1742" s="4" t="s">
        <v>308</v>
      </c>
      <c r="E1742" s="3">
        <v>46081</v>
      </c>
      <c r="F1742" s="5">
        <v>1520</v>
      </c>
      <c r="G1742" s="5">
        <v>1520</v>
      </c>
      <c r="H1742" s="61">
        <v>0</v>
      </c>
      <c r="I1742" s="6">
        <f t="shared" si="28"/>
        <v>-1520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>
      <c r="A1743" s="4" t="s">
        <v>1260</v>
      </c>
      <c r="B1743" s="4" t="s">
        <v>1261</v>
      </c>
      <c r="C1743" s="4" t="s">
        <v>16</v>
      </c>
      <c r="D1743" s="4" t="s">
        <v>450</v>
      </c>
      <c r="E1743" s="3">
        <v>46244</v>
      </c>
      <c r="F1743" s="5">
        <v>20520</v>
      </c>
      <c r="G1743" s="5">
        <v>20520</v>
      </c>
      <c r="H1743" s="61">
        <v>78280</v>
      </c>
      <c r="I1743" s="6">
        <f t="shared" si="28"/>
        <v>57760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>
      <c r="A1744" s="4" t="s">
        <v>1260</v>
      </c>
      <c r="B1744" s="4" t="s">
        <v>1261</v>
      </c>
      <c r="C1744" s="4" t="s">
        <v>16</v>
      </c>
      <c r="D1744" s="4" t="s">
        <v>117</v>
      </c>
      <c r="E1744" s="3">
        <v>46244</v>
      </c>
      <c r="F1744" s="5">
        <v>380</v>
      </c>
      <c r="G1744" s="5">
        <v>380</v>
      </c>
      <c r="H1744" s="61">
        <v>19380</v>
      </c>
      <c r="I1744" s="6">
        <f t="shared" si="28"/>
        <v>19000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>
      <c r="A1745" s="4" t="s">
        <v>1260</v>
      </c>
      <c r="B1745" s="4" t="s">
        <v>1261</v>
      </c>
      <c r="C1745" s="4" t="s">
        <v>16</v>
      </c>
      <c r="D1745" s="4">
        <v>6212026</v>
      </c>
      <c r="E1745" s="3"/>
      <c r="F1745" s="5">
        <v>0</v>
      </c>
      <c r="G1745" s="5"/>
      <c r="H1745" s="61">
        <v>760</v>
      </c>
      <c r="I1745" s="6">
        <f t="shared" si="28"/>
        <v>760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>
      <c r="A1746" s="4" t="s">
        <v>1260</v>
      </c>
      <c r="B1746" s="4" t="s">
        <v>1261</v>
      </c>
      <c r="C1746" s="4" t="s">
        <v>16</v>
      </c>
      <c r="D1746" s="4">
        <v>1162026</v>
      </c>
      <c r="E1746" s="3"/>
      <c r="F1746" s="5">
        <v>0</v>
      </c>
      <c r="G1746" s="5"/>
      <c r="H1746" s="61">
        <v>8740</v>
      </c>
      <c r="I1746" s="6">
        <f t="shared" si="28"/>
        <v>8740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>
      <c r="A1747" s="4" t="s">
        <v>1262</v>
      </c>
      <c r="B1747" s="4" t="s">
        <v>1263</v>
      </c>
      <c r="C1747" s="4" t="s">
        <v>16</v>
      </c>
      <c r="D1747" s="4" t="s">
        <v>251</v>
      </c>
      <c r="E1747" s="3">
        <v>45926</v>
      </c>
      <c r="F1747" s="5">
        <v>380</v>
      </c>
      <c r="G1747" s="5">
        <v>380</v>
      </c>
      <c r="H1747" s="61">
        <v>380</v>
      </c>
      <c r="I1747" s="6">
        <f t="shared" si="28"/>
        <v>0</v>
      </c>
      <c r="J1747" s="9">
        <v>46247</v>
      </c>
      <c r="K1747" s="31" t="s">
        <v>253</v>
      </c>
      <c r="L1747" s="31" t="s">
        <v>254</v>
      </c>
      <c r="M1747" s="44" t="s">
        <v>20</v>
      </c>
      <c r="N1747" s="3">
        <v>46268</v>
      </c>
    </row>
    <row r="1748" spans="1:22">
      <c r="A1748" s="4" t="s">
        <v>1262</v>
      </c>
      <c r="B1748" s="4" t="s">
        <v>1263</v>
      </c>
      <c r="C1748" s="4" t="s">
        <v>16</v>
      </c>
      <c r="D1748" s="4" t="s">
        <v>952</v>
      </c>
      <c r="E1748" s="3">
        <v>45926</v>
      </c>
      <c r="F1748" s="5">
        <v>760</v>
      </c>
      <c r="G1748" s="5">
        <v>760</v>
      </c>
      <c r="H1748" s="61">
        <v>760</v>
      </c>
      <c r="I1748" s="6">
        <f t="shared" si="28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 ht="30.75" customHeight="1">
      <c r="A1749" s="4" t="s">
        <v>1262</v>
      </c>
      <c r="B1749" s="4" t="s">
        <v>1263</v>
      </c>
      <c r="C1749" s="4" t="s">
        <v>16</v>
      </c>
      <c r="D1749" s="4" t="s">
        <v>1264</v>
      </c>
      <c r="E1749" s="3">
        <v>45944</v>
      </c>
      <c r="F1749" s="5">
        <v>6840</v>
      </c>
      <c r="G1749" s="5">
        <v>6840</v>
      </c>
      <c r="H1749" s="61">
        <v>1140</v>
      </c>
      <c r="I1749" s="6">
        <f t="shared" si="28"/>
        <v>-5700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customHeight="1">
      <c r="A1750" s="73" t="s">
        <v>1262</v>
      </c>
      <c r="B1750" s="73" t="s">
        <v>1263</v>
      </c>
      <c r="C1750" s="73" t="s">
        <v>16</v>
      </c>
      <c r="D1750" s="73" t="s">
        <v>36</v>
      </c>
      <c r="E1750" s="74">
        <v>46228</v>
      </c>
      <c r="F1750" s="75">
        <v>379240</v>
      </c>
      <c r="G1750" s="75">
        <v>189240</v>
      </c>
      <c r="H1750" s="72">
        <v>378100</v>
      </c>
      <c r="I1750" s="49">
        <f t="shared" si="28"/>
        <v>-1140</v>
      </c>
      <c r="J1750" s="50">
        <v>46247</v>
      </c>
      <c r="K1750" s="51" t="s">
        <v>253</v>
      </c>
      <c r="L1750" s="51" t="s">
        <v>254</v>
      </c>
      <c r="M1750" s="44" t="s">
        <v>20</v>
      </c>
      <c r="N1750" s="3">
        <v>46268</v>
      </c>
    </row>
    <row r="1751" spans="1:22" ht="30.75" customHeight="1">
      <c r="A1751" s="52" t="s">
        <v>1262</v>
      </c>
      <c r="B1751" s="52" t="s">
        <v>1263</v>
      </c>
      <c r="C1751" s="52" t="s">
        <v>16</v>
      </c>
      <c r="D1751" s="52">
        <v>10252026</v>
      </c>
      <c r="E1751" s="52"/>
      <c r="F1751" s="52">
        <v>0</v>
      </c>
      <c r="G1751" s="52"/>
      <c r="H1751" s="68">
        <v>5700</v>
      </c>
      <c r="I1751" s="49">
        <f t="shared" si="28"/>
        <v>5700</v>
      </c>
      <c r="J1751" s="53">
        <v>46247</v>
      </c>
      <c r="K1751" s="54" t="s">
        <v>253</v>
      </c>
      <c r="L1751" s="54" t="s">
        <v>254</v>
      </c>
      <c r="M1751" s="44" t="s">
        <v>20</v>
      </c>
      <c r="N1751" s="3">
        <v>46268</v>
      </c>
    </row>
    <row r="1752" spans="1:22" ht="12.75" customHeight="1">
      <c r="P1752" s="86">
        <v>12780</v>
      </c>
      <c r="Q1752" s="86" t="s">
        <v>1119</v>
      </c>
      <c r="R1752" s="86" t="s">
        <v>16</v>
      </c>
      <c r="S1752" s="86">
        <v>8022026</v>
      </c>
      <c r="T1752" s="87">
        <v>38380</v>
      </c>
      <c r="U1752" s="87">
        <v>38380</v>
      </c>
    </row>
    <row r="1753" spans="1:22" ht="12.75" customHeight="1">
      <c r="F1753" s="90"/>
      <c r="P1753" s="88">
        <v>12780</v>
      </c>
      <c r="Q1753" s="88" t="s">
        <v>1119</v>
      </c>
      <c r="R1753" s="88" t="s">
        <v>25</v>
      </c>
      <c r="S1753" s="88">
        <v>5142026</v>
      </c>
      <c r="T1753" s="88">
        <v>0</v>
      </c>
      <c r="U1753" s="89">
        <v>5700</v>
      </c>
      <c r="V1753" s="1">
        <v>-5700</v>
      </c>
    </row>
    <row r="1755" spans="1:22" ht="12.75" customHeight="1"/>
  </sheetData>
  <sheetProtection selectLockedCells="1" sort="0" autoFilter="0"/>
  <autoFilter ref="A1:AC1753" xr:uid="{93EA56FC-60C3-492B-BAEB-2E1556A6630B}"/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H1208 A1219:I1219 M1219:M1220 D1220:I1220 A1226:I1226 M1226:M1227 D1227:I1227 D1239:I1239 M1239 A1241:I1241 M1241:M1242 D1242:I1242 A1263:M1264 A1270:I1271 M1270:M1271 D1276:H1276 E1385:I1385 M1385 A1404:I1405 A1414:I1415 M1414:M1415 A1420:I1421 M1420:M1421 M1548:M1549 M1714 D1727:I1727 A1548:J1549 K1360:L1360 L1338:L1339 A1458:I1458 M1458 M1276 I1276:I1278 J1207:M1208 M1192:M1193 A1192:I1193">
    <cfRule type="expression" dxfId="228" priority="311">
      <formula>$I5&gt;0</formula>
    </cfRule>
    <cfRule type="expression" dxfId="227" priority="312">
      <formula>$I5&lt;0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3:L1192 J1194:L1206 A1185:H1187 A1167:M1167 A1171:M1177 A1170:H1170 J1170:M1170">
    <cfRule type="expression" dxfId="226" priority="229">
      <formula>$I938&gt;0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5:L1192 J1194:L1206 A1185:H1187 A1167:M1167 A1171:M1177 A1170:H1170 J1170:M1170">
    <cfRule type="expression" dxfId="225" priority="230">
      <formula>$I938&lt;0</formula>
    </cfRule>
  </conditionalFormatting>
  <conditionalFormatting sqref="A938:B938">
    <cfRule type="expression" dxfId="224" priority="231">
      <formula>$I941&lt;0</formula>
    </cfRule>
    <cfRule type="expression" dxfId="223" priority="232">
      <formula>$I941&gt;0</formula>
    </cfRule>
  </conditionalFormatting>
  <conditionalFormatting sqref="A952:B952 A1361:I1361 M1361 A1362:M1381 A1382:I1382 M1382 J1382:L1387 A1386:M1393 A1394:L1394 M1394:M1405 A1395:I1403 J1395:L1405 A1406:M1409 A1411:I1413 M1411:M1413 J1411:L1424 A1416:I1419 M1416:M1419 A1422:M1424 A1426:M1428 A1452:I1457 M1452:M1457 J1452:L1459 A1483:L1484 A1485:M1539 A1341:M1357 J1361:L1368 A1359:B1360 K1337:K1338 K1340:L1340 A1431:M1451 A1461:M1482">
    <cfRule type="expression" dxfId="222" priority="233">
      <formula>$I953&gt;0</formula>
    </cfRule>
    <cfRule type="expression" dxfId="221" priority="234">
      <formula>$I953&lt;0</formula>
    </cfRule>
  </conditionalFormatting>
  <conditionalFormatting sqref="A953:B953">
    <cfRule type="expression" dxfId="220" priority="235">
      <formula>$I956&lt;0</formula>
    </cfRule>
    <cfRule type="expression" dxfId="219" priority="236">
      <formula>$I956&gt;0</formula>
    </cfRule>
  </conditionalFormatting>
  <conditionalFormatting sqref="A1037:B1037 A1061:I1062 M1061:M1062">
    <cfRule type="expression" dxfId="218" priority="369">
      <formula>$I1039&lt;0</formula>
    </cfRule>
    <cfRule type="expression" dxfId="217" priority="372">
      <formula>$I1039&gt;0</formula>
    </cfRule>
  </conditionalFormatting>
  <conditionalFormatting sqref="A1131:B1132">
    <cfRule type="expression" dxfId="216" priority="97">
      <formula>$I1132&gt;0</formula>
    </cfRule>
    <cfRule type="expression" dxfId="215" priority="98">
      <formula>$I1132&lt;0</formula>
    </cfRule>
  </conditionalFormatting>
  <conditionalFormatting sqref="A1133:B1133 M1273:M1275 I1272:I1275 A1273:H1273 C1274:I1275">
    <cfRule type="expression" dxfId="214" priority="99">
      <formula>$I1137&gt;0</formula>
    </cfRule>
    <cfRule type="expression" dxfId="213" priority="100">
      <formula>$I1137&lt;0</formula>
    </cfRule>
  </conditionalFormatting>
  <conditionalFormatting sqref="A1154:B1154">
    <cfRule type="expression" dxfId="212" priority="93">
      <formula>$I1155&gt;0</formula>
    </cfRule>
    <cfRule type="expression" dxfId="211" priority="94">
      <formula>$I1155&lt;0</formula>
    </cfRule>
  </conditionalFormatting>
  <conditionalFormatting sqref="A1155:B1155 A1383:I1383 M1383:M1384 E1384:I1384 J1358:L1358 K1359:L1359 J1359:J1360 I1194">
    <cfRule type="expression" dxfId="210" priority="95">
      <formula>$I1158&gt;0</formula>
    </cfRule>
    <cfRule type="expression" dxfId="209" priority="96">
      <formula>$I1158&lt;0</formula>
    </cfRule>
  </conditionalFormatting>
  <conditionalFormatting sqref="A1746:B1746">
    <cfRule type="expression" dxfId="208" priority="444">
      <formula>#REF!&gt;0</formula>
    </cfRule>
    <cfRule type="expression" dxfId="207" priority="446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206" priority="241">
      <formula>$I450&gt;0</formula>
    </cfRule>
    <cfRule type="expression" dxfId="205" priority="242">
      <formula>$I450&lt;0</formula>
    </cfRule>
  </conditionalFormatting>
  <conditionalFormatting sqref="A924:C924">
    <cfRule type="expression" dxfId="204" priority="225">
      <formula>$I925&gt;0</formula>
    </cfRule>
    <cfRule type="expression" dxfId="203" priority="226">
      <formula>$I925&lt;0</formula>
    </cfRule>
  </conditionalFormatting>
  <conditionalFormatting sqref="A925:C925">
    <cfRule type="expression" dxfId="202" priority="227">
      <formula>$I928&lt;0</formula>
    </cfRule>
    <cfRule type="expression" dxfId="201" priority="228">
      <formula>$I928&gt;0</formula>
    </cfRule>
  </conditionalFormatting>
  <conditionalFormatting sqref="A1038:C1038">
    <cfRule type="expression" dxfId="200" priority="215">
      <formula>$I1039&lt;0</formula>
    </cfRule>
    <cfRule type="expression" dxfId="199" priority="216">
      <formula>$I1039&gt;0</formula>
    </cfRule>
  </conditionalFormatting>
  <conditionalFormatting sqref="A1220:C1220">
    <cfRule type="expression" dxfId="198" priority="85">
      <formula>$I1221&gt;0</formula>
    </cfRule>
    <cfRule type="expression" dxfId="197" priority="86">
      <formula>$I1221&lt;0</formula>
    </cfRule>
  </conditionalFormatting>
  <conditionalFormatting sqref="A1227:C1227">
    <cfRule type="expression" dxfId="196" priority="83">
      <formula>$I1228&gt;0</formula>
    </cfRule>
    <cfRule type="expression" dxfId="195" priority="84">
      <formula>$I1228&lt;0</formula>
    </cfRule>
  </conditionalFormatting>
  <conditionalFormatting sqref="A1238:C1239">
    <cfRule type="expression" dxfId="194" priority="81">
      <formula>$I1239&gt;0</formula>
    </cfRule>
    <cfRule type="expression" dxfId="193" priority="82">
      <formula>$I1239&lt;0</formula>
    </cfRule>
  </conditionalFormatting>
  <conditionalFormatting sqref="A1242:C1242">
    <cfRule type="expression" dxfId="192" priority="79">
      <formula>$I1243&gt;0</formula>
    </cfRule>
    <cfRule type="expression" dxfId="191" priority="80">
      <formula>$I1243&lt;0</formula>
    </cfRule>
  </conditionalFormatting>
  <conditionalFormatting sqref="A1276:C1276">
    <cfRule type="expression" dxfId="190" priority="77">
      <formula>$I1277&gt;0</formula>
    </cfRule>
    <cfRule type="expression" dxfId="189" priority="78">
      <formula>$I1277&lt;0</formula>
    </cfRule>
  </conditionalFormatting>
  <conditionalFormatting sqref="A1317:C1317">
    <cfRule type="expression" dxfId="188" priority="75">
      <formula>$I1318&gt;0</formula>
    </cfRule>
    <cfRule type="expression" dxfId="187" priority="76">
      <formula>$I1318&lt;0</formula>
    </cfRule>
  </conditionalFormatting>
  <conditionalFormatting sqref="A1326:C1326">
    <cfRule type="expression" dxfId="186" priority="73">
      <formula>$I1327&gt;0</formula>
    </cfRule>
    <cfRule type="expression" dxfId="185" priority="74">
      <formula>$I1327&lt;0</formula>
    </cfRule>
  </conditionalFormatting>
  <conditionalFormatting sqref="A1337:C1338">
    <cfRule type="expression" dxfId="184" priority="61">
      <formula>$I1338&gt;0</formula>
    </cfRule>
    <cfRule type="expression" dxfId="183" priority="62">
      <formula>$I1338&lt;0</formula>
    </cfRule>
  </conditionalFormatting>
  <conditionalFormatting sqref="A1751:C1751 J1751:L1751">
    <cfRule type="expression" dxfId="182" priority="365">
      <formula>#REF!&gt;0</formula>
    </cfRule>
    <cfRule type="expression" dxfId="181" priority="366">
      <formula>#REF!&lt;0</formula>
    </cfRule>
  </conditionalFormatting>
  <conditionalFormatting sqref="A1384:D1384">
    <cfRule type="expression" dxfId="180" priority="47">
      <formula>$I1385&gt;0</formula>
    </cfRule>
    <cfRule type="expression" dxfId="179" priority="48">
      <formula>$I1385&lt;0</formula>
    </cfRule>
  </conditionalFormatting>
  <conditionalFormatting sqref="A1385:D1385">
    <cfRule type="expression" dxfId="178" priority="45">
      <formula>$I1388&gt;0</formula>
    </cfRule>
    <cfRule type="expression" dxfId="177" priority="46">
      <formula>$I1388&lt;0</formula>
    </cfRule>
  </conditionalFormatting>
  <conditionalFormatting sqref="A552:I552 M552:M553 D553:I553 A553:C555">
    <cfRule type="expression" dxfId="176" priority="330">
      <formula>$I556&lt;0</formula>
    </cfRule>
    <cfRule type="expression" dxfId="175" priority="332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74" priority="351">
      <formula>$I926&lt;0</formula>
    </cfRule>
    <cfRule type="expression" dxfId="173" priority="353">
      <formula>$I926&gt;0</formula>
    </cfRule>
  </conditionalFormatting>
  <conditionalFormatting sqref="A1034:I1035 M1034:M1036 C1036:I1036">
    <cfRule type="expression" dxfId="172" priority="380">
      <formula>$I1039&lt;0</formula>
    </cfRule>
    <cfRule type="expression" dxfId="171" priority="384">
      <formula>$I1039&gt;0</formula>
    </cfRule>
  </conditionalFormatting>
  <conditionalFormatting sqref="A1286:I1287 M1286:M1287 A1301:I1302 A1311:I1312 A1316:M1316 D1317:I1317 M1317 A1325:J1325 M1325:M1326 D1326:J1326 G1543:H1543 M1543">
    <cfRule type="expression" dxfId="170" priority="395">
      <formula>$I1288&gt;0</formula>
    </cfRule>
    <cfRule type="expression" dxfId="169" priority="398">
      <formula>$I1288&lt;0</formula>
    </cfRule>
  </conditionalFormatting>
  <conditionalFormatting sqref="A1358:I1358 M1358:M1360 C1359:I1360">
    <cfRule type="expression" dxfId="168" priority="406">
      <formula>#REF!&gt;0</formula>
    </cfRule>
    <cfRule type="expression" dxfId="167" priority="407">
      <formula>#REF!&lt;0</formula>
    </cfRule>
  </conditionalFormatting>
  <conditionalFormatting sqref="A1592:I1592 M1592:M1593 A1593:H1593 I1593:I1596">
    <cfRule type="expression" dxfId="166" priority="423">
      <formula>$I1594&gt;0</formula>
    </cfRule>
    <cfRule type="expression" dxfId="165" priority="426">
      <formula>$I1594&lt;0</formula>
    </cfRule>
  </conditionalFormatting>
  <conditionalFormatting sqref="A1744:I1744 D1745:I1745 C1745:C1746">
    <cfRule type="expression" dxfId="164" priority="436">
      <formula>$I1747&gt;0</formula>
    </cfRule>
    <cfRule type="expression" dxfId="163" priority="438">
      <formula>$I1747&lt;0</formula>
    </cfRule>
  </conditionalFormatting>
  <conditionalFormatting sqref="A12:K12">
    <cfRule type="expression" dxfId="162" priority="119">
      <formula>$I13&gt;0</formula>
    </cfRule>
    <cfRule type="expression" dxfId="161" priority="120">
      <formula>$I13&lt;0</formula>
    </cfRule>
  </conditionalFormatting>
  <conditionalFormatting sqref="A14:K14">
    <cfRule type="expression" dxfId="160" priority="121">
      <formula>$I15&gt;0</formula>
    </cfRule>
    <cfRule type="expression" dxfId="159" priority="122">
      <formula>$I15&lt;0</formula>
    </cfRule>
  </conditionalFormatting>
  <conditionalFormatting sqref="A18:K19">
    <cfRule type="expression" dxfId="158" priority="123">
      <formula>$I19&gt;0</formula>
    </cfRule>
    <cfRule type="expression" dxfId="157" priority="124">
      <formula>$I19&lt;0</formula>
    </cfRule>
  </conditionalFormatting>
  <conditionalFormatting sqref="A1313:K1315 J1317:K1317 A1320:K1320 A1322:K1322 A1319:H1319 J1319:K1319">
    <cfRule type="expression" dxfId="156" priority="51">
      <formula>$I1314&gt;0</formula>
    </cfRule>
    <cfRule type="expression" dxfId="155" priority="52">
      <formula>$I1314&lt;0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54" priority="269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53" priority="270">
      <formula>$I143&lt;0</formula>
    </cfRule>
  </conditionalFormatting>
  <conditionalFormatting sqref="A236:L236 A237:I238 J237:L240 A1727:C1727">
    <cfRule type="expression" dxfId="152" priority="293">
      <formula>$I239&gt;0</formula>
    </cfRule>
    <cfRule type="expression" dxfId="151" priority="294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50" priority="344">
      <formula>$I410&gt;0</formula>
    </cfRule>
  </conditionalFormatting>
  <conditionalFormatting sqref="A863:L864 A874:L875 A878:L879 A903:I904">
    <cfRule type="expression" dxfId="149" priority="335">
      <formula>$I865&lt;0</formula>
    </cfRule>
    <cfRule type="expression" dxfId="148" priority="338">
      <formula>$I865&gt;0</formula>
    </cfRule>
  </conditionalFormatting>
  <conditionalFormatting sqref="A1:M1 A2 C2:I2 L2:M2 A139:L141 A224:H224 L224:M225 B225 D225:H225 A225:A226 C225:C226 C1132:I1132 M1132 A1153:I1153 M1153:M1154 C1154:I1154 A1178:M1178 L1179:M1180 A1182:M1182 A1183:H1184 M1183:M1184 A1237:I1237 M1237:M1238 D1238:I1238 A1725:I1726 I1183:I1187 A1179:I1180">
    <cfRule type="expression" dxfId="147" priority="317">
      <formula>$I4&gt;0</formula>
    </cfRule>
    <cfRule type="expression" dxfId="146" priority="318">
      <formula>$I4&lt;0</formula>
    </cfRule>
  </conditionalFormatting>
  <conditionalFormatting sqref="A42:M60">
    <cfRule type="expression" dxfId="145" priority="129">
      <formula>$I43&gt;0</formula>
    </cfRule>
    <cfRule type="expression" dxfId="144" priority="130">
      <formula>$I43&lt;0</formula>
    </cfRule>
  </conditionalFormatting>
  <conditionalFormatting sqref="A64:M137 A138:L138 M138:M149">
    <cfRule type="expression" dxfId="143" priority="135">
      <formula>$I65&gt;0</formula>
    </cfRule>
    <cfRule type="expression" dxfId="142" priority="136">
      <formula>$I65&lt;0</formula>
    </cfRule>
  </conditionalFormatting>
  <conditionalFormatting sqref="A177:M186">
    <cfRule type="expression" dxfId="141" priority="153">
      <formula>$I178&gt;0</formula>
    </cfRule>
    <cfRule type="expression" dxfId="140" priority="154">
      <formula>$I178&lt;0</formula>
    </cfRule>
  </conditionalFormatting>
  <conditionalFormatting sqref="A448:M448 D449:M449 A484:I485 M484:M485 A494:M495 A505:G505 I505 A506:I506 D555:I555 M555">
    <cfRule type="expression" dxfId="139" priority="323">
      <formula>$I450&lt;0</formula>
    </cfRule>
    <cfRule type="expression" dxfId="138" priority="326">
      <formula>$I450&gt;0</formula>
    </cfRule>
  </conditionalFormatting>
  <conditionalFormatting sqref="A508:M550">
    <cfRule type="expression" dxfId="137" priority="161">
      <formula>$I509&gt;0</formula>
    </cfRule>
    <cfRule type="expression" dxfId="136" priority="162">
      <formula>$I509&lt;0</formula>
    </cfRule>
  </conditionalFormatting>
  <conditionalFormatting sqref="A558:M591">
    <cfRule type="expression" dxfId="135" priority="103">
      <formula>$I559&gt;0</formula>
    </cfRule>
    <cfRule type="expression" dxfId="134" priority="104">
      <formula>$I559&lt;0</formula>
    </cfRule>
  </conditionalFormatting>
  <conditionalFormatting sqref="A606:M645">
    <cfRule type="expression" dxfId="133" priority="171">
      <formula>$I607&gt;0</formula>
    </cfRule>
    <cfRule type="expression" dxfId="132" priority="172">
      <formula>$I607&lt;0</formula>
    </cfRule>
  </conditionalFormatting>
  <conditionalFormatting sqref="A650:M680">
    <cfRule type="expression" dxfId="131" priority="193">
      <formula>$I651&gt;0</formula>
    </cfRule>
    <cfRule type="expression" dxfId="130" priority="194">
      <formula>$I651&lt;0</formula>
    </cfRule>
  </conditionalFormatting>
  <conditionalFormatting sqref="A823:M823 B824:J824 M824:M827 B825:I827 J825:J828">
    <cfRule type="expression" dxfId="129" priority="319">
      <formula>$I829&gt;0</formula>
    </cfRule>
    <cfRule type="expression" dxfId="128" priority="320">
      <formula>$I829&lt;0</formula>
    </cfRule>
  </conditionalFormatting>
  <conditionalFormatting sqref="A990:M1003">
    <cfRule type="expression" dxfId="127" priority="200">
      <formula>$I991&lt;0</formula>
    </cfRule>
  </conditionalFormatting>
  <conditionalFormatting sqref="A1065:M1085">
    <cfRule type="expression" dxfId="126" priority="210">
      <formula>$I1066&lt;0</formula>
    </cfRule>
  </conditionalFormatting>
  <conditionalFormatting sqref="A1088:M1111">
    <cfRule type="expression" dxfId="125" priority="115">
      <formula>$I1089&gt;0</formula>
    </cfRule>
    <cfRule type="expression" dxfId="124" priority="116">
      <formula>$I1089&lt;0</formula>
    </cfRule>
  </conditionalFormatting>
  <conditionalFormatting sqref="A1130:M1130 C1131:I1131 M1131 J1131:L1133">
    <cfRule type="expression" dxfId="123" priority="391">
      <formula>$I1134&gt;0</formula>
    </cfRule>
    <cfRule type="expression" dxfId="122" priority="392">
      <formula>$I1134&lt;0</formula>
    </cfRule>
  </conditionalFormatting>
  <conditionalFormatting sqref="A1280:M1280 A1284:M1284">
    <cfRule type="expression" dxfId="121" priority="408">
      <formula>#REF!&gt;0</formula>
    </cfRule>
    <cfRule type="expression" dxfId="120" priority="414">
      <formula>#REF!&lt;0</formula>
    </cfRule>
  </conditionalFormatting>
  <conditionalFormatting sqref="A1410:M1410 A1425:M1425 A1429:M1430">
    <cfRule type="expression" dxfId="119" priority="419">
      <formula>#REF!&gt;0</formula>
    </cfRule>
    <cfRule type="expression" dxfId="118" priority="420">
      <formula>#REF!&lt;0</formula>
    </cfRule>
  </conditionalFormatting>
  <conditionalFormatting sqref="A1579:M1579">
    <cfRule type="expression" dxfId="117" priority="449">
      <formula>#REF!&gt;0</formula>
    </cfRule>
    <cfRule type="expression" dxfId="116" priority="452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4:L1715 A1716:M1719 A1720:I1724 J1720:M1727">
    <cfRule type="expression" dxfId="115" priority="303">
      <formula>$I3&gt;0</formula>
    </cfRule>
    <cfRule type="expression" dxfId="114" priority="306">
      <formula>$I3&lt;0</formula>
    </cfRule>
  </conditionalFormatting>
  <conditionalFormatting sqref="B174">
    <cfRule type="expression" dxfId="113" priority="243">
      <formula>$I175&gt;0</formula>
    </cfRule>
    <cfRule type="expression" dxfId="112" priority="244">
      <formula>$I175&lt;0</formula>
    </cfRule>
  </conditionalFormatting>
  <conditionalFormatting sqref="B977">
    <cfRule type="expression" dxfId="111" priority="245">
      <formula>$I978&gt;0</formula>
    </cfRule>
    <cfRule type="expression" dxfId="110" priority="246">
      <formula>$I978&lt;0</formula>
    </cfRule>
  </conditionalFormatting>
  <conditionalFormatting sqref="D554:I554 M554">
    <cfRule type="expression" dxfId="109" priority="327">
      <formula>$I557&lt;0</formula>
    </cfRule>
    <cfRule type="expression" dxfId="108" priority="329">
      <formula>$I557&gt;0</formula>
    </cfRule>
  </conditionalFormatting>
  <conditionalFormatting sqref="D925:I925 M925 A929:M930 D934:I934 M934 J935:L975 C938:I938 M938 A944:I945 M944:M945 C953:I953 M953 A970:I971 A974:I975">
    <cfRule type="expression" dxfId="107" priority="347">
      <formula>$I927&lt;0</formula>
    </cfRule>
    <cfRule type="expression" dxfId="106" priority="350">
      <formula>$I927&gt;0</formula>
    </cfRule>
  </conditionalFormatting>
  <conditionalFormatting sqref="D1746:I1746 M1746">
    <cfRule type="expression" dxfId="105" priority="433">
      <formula>$I1748&gt;0</formula>
    </cfRule>
    <cfRule type="expression" dxfId="104" priority="435">
      <formula>$I1748&lt;0</formula>
    </cfRule>
  </conditionalFormatting>
  <conditionalFormatting sqref="H505">
    <cfRule type="expression" dxfId="103" priority="237">
      <formula>$I506&gt;0</formula>
    </cfRule>
    <cfRule type="expression" dxfId="102" priority="238">
      <formula>$I506&lt;0</formula>
    </cfRule>
  </conditionalFormatting>
  <conditionalFormatting sqref="J1179:K1180">
    <cfRule type="expression" dxfId="101" priority="87">
      <formula>$I1181&gt;0</formula>
    </cfRule>
    <cfRule type="expression" dxfId="100" priority="88">
      <formula>$I1181&lt;0</formula>
    </cfRule>
  </conditionalFormatting>
  <conditionalFormatting sqref="J21">
    <cfRule type="expression" dxfId="99" priority="265">
      <formula>$I22&gt;0</formula>
    </cfRule>
    <cfRule type="expression" dxfId="98" priority="266">
      <formula>$I22&lt;0</formula>
    </cfRule>
  </conditionalFormatting>
  <conditionalFormatting sqref="J1037:J1038 L1037:L1038">
    <cfRule type="expression" dxfId="97" priority="385">
      <formula>$I1040&lt;0</formula>
    </cfRule>
    <cfRule type="expression" dxfId="96" priority="386">
      <formula>$I1040&gt;0</formula>
    </cfRule>
  </conditionalFormatting>
  <conditionalFormatting sqref="J2:K6">
    <cfRule type="expression" dxfId="95" priority="117">
      <formula>$I3&gt;0</formula>
    </cfRule>
    <cfRule type="expression" dxfId="94" priority="118">
      <formula>$I3&lt;0</formula>
    </cfRule>
  </conditionalFormatting>
  <conditionalFormatting sqref="J25:K33">
    <cfRule type="expression" dxfId="93" priority="127">
      <formula>$I26&gt;0</formula>
    </cfRule>
    <cfRule type="expression" dxfId="92" priority="128">
      <formula>$I26&lt;0</formula>
    </cfRule>
  </conditionalFormatting>
  <conditionalFormatting sqref="J706:K711">
    <cfRule type="expression" dxfId="91" priority="295">
      <formula>$I707&gt;0</formula>
    </cfRule>
    <cfRule type="expression" dxfId="90" priority="296">
      <formula>$I707&lt;0</formula>
    </cfRule>
  </conditionalFormatting>
  <conditionalFormatting sqref="J62:L63">
    <cfRule type="expression" dxfId="89" priority="133">
      <formula>$I63&gt;0</formula>
    </cfRule>
    <cfRule type="expression" dxfId="88" priority="134">
      <formula>$I63&lt;0</formula>
    </cfRule>
  </conditionalFormatting>
  <conditionalFormatting sqref="J154:L166">
    <cfRule type="expression" dxfId="87" priority="149">
      <formula>$I155&gt;0</formula>
    </cfRule>
    <cfRule type="expression" dxfId="86" priority="150">
      <formula>$I155&lt;0</formula>
    </cfRule>
  </conditionalFormatting>
  <conditionalFormatting sqref="J595:L595">
    <cfRule type="expression" dxfId="85" priority="279">
      <formula>$I597&gt;0</formula>
    </cfRule>
    <cfRule type="expression" dxfId="84" priority="280">
      <formula>$I597&lt;0</formula>
    </cfRule>
  </conditionalFormatting>
  <conditionalFormatting sqref="J597:L597">
    <cfRule type="expression" dxfId="83" priority="277">
      <formula>$I599&gt;0</formula>
    </cfRule>
    <cfRule type="expression" dxfId="82" priority="278">
      <formula>$I599&lt;0</formula>
    </cfRule>
  </conditionalFormatting>
  <conditionalFormatting sqref="J600:L600">
    <cfRule type="expression" dxfId="81" priority="275">
      <formula>$I602&gt;0</formula>
    </cfRule>
    <cfRule type="expression" dxfId="80" priority="276">
      <formula>$I602&lt;0</formula>
    </cfRule>
  </conditionalFormatting>
  <conditionalFormatting sqref="J602:L602">
    <cfRule type="expression" dxfId="79" priority="273">
      <formula>$I604&gt;0</formula>
    </cfRule>
    <cfRule type="expression" dxfId="78" priority="274">
      <formula>$I604&lt;0</formula>
    </cfRule>
  </conditionalFormatting>
  <conditionalFormatting sqref="J605:L605">
    <cfRule type="expression" dxfId="77" priority="271">
      <formula>$I607&gt;0</formula>
    </cfRule>
    <cfRule type="expression" dxfId="76" priority="272">
      <formula>$I607&lt;0</formula>
    </cfRule>
  </conditionalFormatting>
  <conditionalFormatting sqref="J756:L757">
    <cfRule type="expression" dxfId="75" priority="297">
      <formula>$I757&gt;0</formula>
    </cfRule>
    <cfRule type="expression" dxfId="74" priority="298">
      <formula>$I757&lt;0</formula>
    </cfRule>
  </conditionalFormatting>
  <conditionalFormatting sqref="J931:L934">
    <cfRule type="expression" dxfId="73" priority="362">
      <formula>$I935&lt;0</formula>
    </cfRule>
    <cfRule type="expression" dxfId="72" priority="364">
      <formula>$I935&gt;0</formula>
    </cfRule>
  </conditionalFormatting>
  <conditionalFormatting sqref="J979:L989">
    <cfRule type="expression" dxfId="71" priority="223">
      <formula>$I981&lt;0</formula>
    </cfRule>
    <cfRule type="expression" dxfId="70" priority="224">
      <formula>$I981&gt;0</formula>
    </cfRule>
  </conditionalFormatting>
  <conditionalFormatting sqref="J1035:L1035 J1036 L1036 C1037:I1037 M1037:M1038 D1038:I1038">
    <cfRule type="expression" dxfId="69" priority="373">
      <formula>$I1039&lt;0</formula>
    </cfRule>
    <cfRule type="expression" dxfId="68" priority="375">
      <formula>$I1039&gt;0</formula>
    </cfRule>
  </conditionalFormatting>
  <conditionalFormatting sqref="J1047:L1062 A1063:J1064 L1064">
    <cfRule type="expression" dxfId="67" priority="220">
      <formula>$I1048&gt;0</formula>
    </cfRule>
  </conditionalFormatting>
  <conditionalFormatting sqref="J1047:L1062 A1063:J1064">
    <cfRule type="expression" dxfId="66" priority="219">
      <formula>$I1048&lt;0</formula>
    </cfRule>
  </conditionalFormatting>
  <conditionalFormatting sqref="J1183:L1184">
    <cfRule type="expression" dxfId="65" priority="90">
      <formula>$I1184&lt;0</formula>
    </cfRule>
  </conditionalFormatting>
  <conditionalFormatting sqref="K21:K23">
    <cfRule type="expression" dxfId="64" priority="125">
      <formula>$I22&gt;0</formula>
    </cfRule>
    <cfRule type="expression" dxfId="63" priority="126">
      <formula>$I22&lt;0</formula>
    </cfRule>
  </conditionalFormatting>
  <conditionalFormatting sqref="K174:K176">
    <cfRule type="expression" dxfId="62" priority="151">
      <formula>$I175&gt;0</formula>
    </cfRule>
    <cfRule type="expression" dxfId="61" priority="152">
      <formula>$I175&lt;0</formula>
    </cfRule>
  </conditionalFormatting>
  <conditionalFormatting sqref="K371">
    <cfRule type="expression" dxfId="60" priority="291">
      <formula>$I372&gt;0</formula>
    </cfRule>
    <cfRule type="expression" dxfId="59" priority="292">
      <formula>$I372&lt;0</formula>
    </cfRule>
  </conditionalFormatting>
  <conditionalFormatting sqref="K976:K978">
    <cfRule type="expression" dxfId="58" priority="197">
      <formula>$I977&gt;0</formula>
    </cfRule>
    <cfRule type="expression" dxfId="57" priority="198">
      <formula>$I977&lt;0</formula>
    </cfRule>
  </conditionalFormatting>
  <conditionalFormatting sqref="K995:K999">
    <cfRule type="expression" dxfId="56" priority="199">
      <formula>$I996&gt;0</formula>
    </cfRule>
  </conditionalFormatting>
  <conditionalFormatting sqref="K1004:K1017">
    <cfRule type="expression" dxfId="55" priority="201">
      <formula>$I1005&gt;0</formula>
    </cfRule>
    <cfRule type="expression" dxfId="54" priority="202">
      <formula>$I1005&lt;0</formula>
    </cfRule>
  </conditionalFormatting>
  <conditionalFormatting sqref="K1036:K1038">
    <cfRule type="expression" dxfId="53" priority="207">
      <formula>$I1037&gt;0</formula>
    </cfRule>
    <cfRule type="expression" dxfId="52" priority="208">
      <formula>$I1037&lt;0</formula>
    </cfRule>
  </conditionalFormatting>
  <conditionalFormatting sqref="K1063">
    <cfRule type="expression" dxfId="51" priority="106">
      <formula>$I1064&lt;0</formula>
    </cfRule>
  </conditionalFormatting>
  <conditionalFormatting sqref="K1063:K1064">
    <cfRule type="expression" dxfId="50" priority="105">
      <formula>$I1064&gt;0</formula>
    </cfRule>
  </conditionalFormatting>
  <conditionalFormatting sqref="K1325:K1330">
    <cfRule type="expression" dxfId="49" priority="63">
      <formula>$I1326&gt;0</formula>
    </cfRule>
    <cfRule type="expression" dxfId="48" priority="64">
      <formula>$I1326&lt;0</formula>
    </cfRule>
  </conditionalFormatting>
  <conditionalFormatting sqref="K824:L828">
    <cfRule type="expression" dxfId="47" priority="267">
      <formula>$I825&gt;0</formula>
    </cfRule>
    <cfRule type="expression" dxfId="46" priority="268">
      <formula>$I825&lt;0</formula>
    </cfRule>
  </conditionalFormatting>
  <conditionalFormatting sqref="K1064:L1064">
    <cfRule type="expression" dxfId="45" priority="108">
      <formula>$I1065&lt;0</formula>
    </cfRule>
  </conditionalFormatting>
  <conditionalFormatting sqref="K1070:L1072">
    <cfRule type="expression" dxfId="44" priority="209">
      <formula>$I1071&gt;0</formula>
    </cfRule>
  </conditionalFormatting>
  <conditionalFormatting sqref="K1548:L1549">
    <cfRule type="expression" dxfId="43" priority="91">
      <formula>$I1549&gt;0</formula>
    </cfRule>
    <cfRule type="expression" dxfId="42" priority="92">
      <formula>$I1549&lt;0</formula>
    </cfRule>
  </conditionalFormatting>
  <conditionalFormatting sqref="L4:L6">
    <cfRule type="expression" dxfId="41" priority="263">
      <formula>$I6&gt;0</formula>
    </cfRule>
    <cfRule type="expression" dxfId="40" priority="264">
      <formula>$I6&lt;0</formula>
    </cfRule>
  </conditionalFormatting>
  <conditionalFormatting sqref="L12">
    <cfRule type="expression" dxfId="39" priority="261">
      <formula>$I14&gt;0</formula>
    </cfRule>
    <cfRule type="expression" dxfId="38" priority="262">
      <formula>$I14&lt;0</formula>
    </cfRule>
  </conditionalFormatting>
  <conditionalFormatting sqref="L14">
    <cfRule type="expression" dxfId="37" priority="259">
      <formula>$I16&gt;0</formula>
    </cfRule>
    <cfRule type="expression" dxfId="36" priority="260">
      <formula>$I16&lt;0</formula>
    </cfRule>
  </conditionalFormatting>
  <conditionalFormatting sqref="L18:L19">
    <cfRule type="expression" dxfId="35" priority="255">
      <formula>$I20&gt;0</formula>
    </cfRule>
    <cfRule type="expression" dxfId="34" priority="256">
      <formula>$I20&lt;0</formula>
    </cfRule>
  </conditionalFormatting>
  <conditionalFormatting sqref="L35">
    <cfRule type="expression" dxfId="33" priority="253">
      <formula>$I37&gt;0</formula>
    </cfRule>
    <cfRule type="expression" dxfId="32" priority="254">
      <formula>$I37&lt;0</formula>
    </cfRule>
  </conditionalFormatting>
  <conditionalFormatting sqref="L37">
    <cfRule type="expression" dxfId="31" priority="251">
      <formula>$I39&gt;0</formula>
    </cfRule>
    <cfRule type="expression" dxfId="30" priority="252">
      <formula>$I39&lt;0</formula>
    </cfRule>
  </conditionalFormatting>
  <conditionalFormatting sqref="L41">
    <cfRule type="expression" dxfId="29" priority="249">
      <formula>$I43&gt;0</formula>
    </cfRule>
    <cfRule type="expression" dxfId="28" priority="250">
      <formula>$I43&lt;0</formula>
    </cfRule>
  </conditionalFormatting>
  <conditionalFormatting sqref="L1063">
    <cfRule type="expression" dxfId="27" priority="101">
      <formula>$I1066&lt;0</formula>
    </cfRule>
    <cfRule type="expression" dxfId="26" priority="102">
      <formula>$I1066&gt;0</formula>
    </cfRule>
  </conditionalFormatting>
  <conditionalFormatting sqref="L1313:L1315 A1336:M1336 A1541:H1541 M1541:M1542 G1542:H1542">
    <cfRule type="expression" dxfId="25" priority="399">
      <formula>$I1316&gt;0</formula>
    </cfRule>
    <cfRule type="expression" dxfId="24" priority="401">
      <formula>$I1316&lt;0</formula>
    </cfRule>
  </conditionalFormatting>
  <conditionalFormatting sqref="L1317 L1319:L1320 L1322 L1325:L1330">
    <cfRule type="expression" dxfId="23" priority="49">
      <formula>$I1320&gt;0</formula>
    </cfRule>
    <cfRule type="expression" dxfId="22" priority="50">
      <formula>$I1320&lt;0</formula>
    </cfRule>
  </conditionalFormatting>
  <conditionalFormatting sqref="M198 M836 M1087 M1484">
    <cfRule type="expression" dxfId="21" priority="315">
      <formula>$I198&gt;0</formula>
    </cfRule>
    <cfRule type="expression" dxfId="20" priority="316">
      <formula>$I198&lt;0</formula>
    </cfRule>
  </conditionalFormatting>
  <conditionalFormatting sqref="M360:M376 A372:L373 A374:I376 J374:L392 A379:M403 A404:L404 M404:M413 A405:I405 J405:L413 A408:I408">
    <cfRule type="expression" dxfId="19" priority="247">
      <formula>$I361&gt;0</formula>
    </cfRule>
    <cfRule type="expression" dxfId="18" priority="248">
      <formula>$I361&lt;0</formula>
    </cfRule>
  </conditionalFormatting>
  <conditionalFormatting sqref="M415">
    <cfRule type="expression" dxfId="17" priority="388">
      <formula>$I415&lt;0</formula>
    </cfRule>
    <cfRule type="expression" dxfId="16" priority="390">
      <formula>$I415&gt;0</formula>
    </cfRule>
  </conditionalFormatting>
  <conditionalFormatting sqref="A1339:J1339 M1339">
    <cfRule type="expression" dxfId="15" priority="453">
      <formula>#REF!&gt;0</formula>
    </cfRule>
  </conditionalFormatting>
  <conditionalFormatting sqref="A1339:J1339 M1339">
    <cfRule type="expression" dxfId="14" priority="457">
      <formula>#REF!&lt;0</formula>
    </cfRule>
  </conditionalFormatting>
  <conditionalFormatting sqref="M1338 K1339 D1337:J1338 L1337:M1337">
    <cfRule type="expression" dxfId="13" priority="461">
      <formula>#REF!&gt;0</formula>
    </cfRule>
    <cfRule type="expression" dxfId="12" priority="462">
      <formula>#REF!&lt;0</formula>
    </cfRule>
  </conditionalFormatting>
  <conditionalFormatting sqref="A1459:I1459 M1459 A1460:M1460">
    <cfRule type="expression" dxfId="11" priority="465">
      <formula>#REF!&gt;0</formula>
    </cfRule>
    <cfRule type="expression" dxfId="10" priority="466">
      <formula>#REF!&lt;0</formula>
    </cfRule>
  </conditionalFormatting>
  <conditionalFormatting sqref="A1703:M1703 A1699:M1699 J1193:L1193">
    <cfRule type="expression" dxfId="9" priority="469">
      <formula>#REF!&gt;0</formula>
    </cfRule>
  </conditionalFormatting>
  <conditionalFormatting sqref="A1703:M1703 A1699:M1699 J1193:L1193">
    <cfRule type="expression" dxfId="8" priority="472">
      <formula>#REF!&lt;0</formula>
    </cfRule>
  </conditionalFormatting>
  <conditionalFormatting sqref="J1273:L1275">
    <cfRule type="expression" dxfId="7" priority="485">
      <formula>$I1276&gt;0</formula>
    </cfRule>
  </conditionalFormatting>
  <conditionalFormatting sqref="J1273:L1275">
    <cfRule type="expression" dxfId="6" priority="488">
      <formula>$I1276&lt;0</formula>
    </cfRule>
  </conditionalFormatting>
  <conditionalFormatting sqref="A1275:B1275">
    <cfRule type="expression" dxfId="5" priority="3">
      <formula>$I1276&gt;0</formula>
    </cfRule>
  </conditionalFormatting>
  <conditionalFormatting sqref="A1275:B1275">
    <cfRule type="expression" dxfId="4" priority="4">
      <formula>$I1276&lt;0</formula>
    </cfRule>
  </conditionalFormatting>
  <conditionalFormatting sqref="A1274:B1274">
    <cfRule type="expression" dxfId="3" priority="1">
      <formula>$I1275&gt;0</formula>
    </cfRule>
    <cfRule type="expression" dxfId="2" priority="2">
      <formula>$I1275&lt;0</formula>
    </cfRule>
  </conditionalFormatting>
  <conditionalFormatting sqref="A1168:M1168 A1169:H1169 J1169:M1169 I1169:I1170">
    <cfRule type="expression" dxfId="1" priority="491">
      <formula>$I1170&gt;0</formula>
    </cfRule>
  </conditionalFormatting>
  <conditionalFormatting sqref="A1168:M1168 A1169:H1169 J1169:M1169 I1169:I1170">
    <cfRule type="expression" dxfId="0" priority="494">
      <formula>$I1170&lt;0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2026-09-16T12:21:44Z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